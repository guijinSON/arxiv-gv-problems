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ples" sheetId="1" state="visible" r:id="rId1"/>
    <sheet xmlns:r="http://schemas.openxmlformats.org/officeDocument/2006/relationships" name="Summary" sheetId="2" state="visible" r:id="rId2"/>
    <sheet xmlns:r="http://schemas.openxmlformats.org/officeDocument/2006/relationships" name="Notes" sheetId="3" state="visible" r:id="rId3"/>
  </sheets>
  <definedNames>
    <definedName name="_xlnm._FilterDatabase" localSheetId="0" hidden="1">'Samples'!$A$1:$L$40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Consolas"/>
      <sz val="9"/>
    </font>
    <font>
      <name val="Arial"/>
      <color rgb="000563C1"/>
      <sz val="10"/>
      <u val="single"/>
    </font>
    <font>
      <name val="Arial"/>
      <b val="1"/>
      <sz val="13"/>
    </font>
    <font>
      <name val="Arial"/>
      <b val="1"/>
      <sz val="11"/>
    </font>
    <font>
      <name val="Arial"/>
      <b val="1"/>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xf>
    <xf numFmtId="0" fontId="4" fillId="0" borderId="1" applyAlignment="1" pivotButton="0" quotePrefix="0" xfId="0">
      <alignment vertical="top"/>
    </xf>
    <xf numFmtId="0" fontId="2" fillId="0" borderId="1" applyAlignment="1" pivotButton="0" quotePrefix="0" xfId="0">
      <alignment horizontal="center" vertical="top"/>
    </xf>
    <xf numFmtId="3" fontId="2" fillId="0" borderId="1" applyAlignment="1" pivotButton="0" quotePrefix="0" xfId="0">
      <alignment vertical="top"/>
    </xf>
    <xf numFmtId="0" fontId="3" fillId="0" borderId="1" applyAlignment="1" pivotButton="0" quotePrefix="0" xfId="0">
      <alignment vertical="top"/>
    </xf>
    <xf numFmtId="0" fontId="5" fillId="0" borderId="0" pivotButton="0" quotePrefix="0" xfId="0"/>
    <xf numFmtId="0" fontId="2" fillId="0" borderId="0" pivotButton="0" quotePrefix="0" xfId="0"/>
    <xf numFmtId="3" fontId="2" fillId="0" borderId="0"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xiv.org/abs/2311.00090" TargetMode="External" Id="rId1"/><Relationship Type="http://schemas.openxmlformats.org/officeDocument/2006/relationships/hyperlink" Target="https://arxiv.org/abs/2411.19413" TargetMode="External" Id="rId2"/><Relationship Type="http://schemas.openxmlformats.org/officeDocument/2006/relationships/hyperlink" Target="https://arxiv.org/abs/2603.07251" TargetMode="External" Id="rId3"/><Relationship Type="http://schemas.openxmlformats.org/officeDocument/2006/relationships/hyperlink" Target="https://arxiv.org/abs/2603.20961" TargetMode="External" Id="rId4"/><Relationship Type="http://schemas.openxmlformats.org/officeDocument/2006/relationships/hyperlink" Target="https://arxiv.org/abs/2205.04710" TargetMode="External" Id="rId5"/><Relationship Type="http://schemas.openxmlformats.org/officeDocument/2006/relationships/hyperlink" Target="https://arxiv.org/abs/2309.11256" TargetMode="External" Id="rId6"/><Relationship Type="http://schemas.openxmlformats.org/officeDocument/2006/relationships/hyperlink" Target="https://arxiv.org/abs/2405.20406" TargetMode="External" Id="rId7"/><Relationship Type="http://schemas.openxmlformats.org/officeDocument/2006/relationships/hyperlink" Target="https://arxiv.org/abs/2002.10145" TargetMode="External" Id="rId8"/><Relationship Type="http://schemas.openxmlformats.org/officeDocument/2006/relationships/hyperlink" Target="https://arxiv.org/abs/2404.18447" TargetMode="External" Id="rId9"/><Relationship Type="http://schemas.openxmlformats.org/officeDocument/2006/relationships/hyperlink" Target="https://arxiv.org/abs/2508.11570" TargetMode="External" Id="rId10"/><Relationship Type="http://schemas.openxmlformats.org/officeDocument/2006/relationships/hyperlink" Target="https://arxiv.org/abs/2306.12713" TargetMode="External" Id="rId11"/><Relationship Type="http://schemas.openxmlformats.org/officeDocument/2006/relationships/hyperlink" Target="https://arxiv.org/abs/2411.07981" TargetMode="External" Id="rId12"/><Relationship Type="http://schemas.openxmlformats.org/officeDocument/2006/relationships/hyperlink" Target="https://arxiv.org/abs/2412.14615" TargetMode="External" Id="rId13"/><Relationship Type="http://schemas.openxmlformats.org/officeDocument/2006/relationships/hyperlink" Target="https://arxiv.org/abs/2511.01003" TargetMode="External" Id="rId14"/><Relationship Type="http://schemas.openxmlformats.org/officeDocument/2006/relationships/hyperlink" Target="https://arxiv.org/abs/2104.04330" TargetMode="External" Id="rId15"/><Relationship Type="http://schemas.openxmlformats.org/officeDocument/2006/relationships/hyperlink" Target="https://arxiv.org/abs/2311.15057" TargetMode="External" Id="rId16"/><Relationship Type="http://schemas.openxmlformats.org/officeDocument/2006/relationships/hyperlink" Target="https://arxiv.org/abs/2411.04916" TargetMode="External" Id="rId17"/><Relationship Type="http://schemas.openxmlformats.org/officeDocument/2006/relationships/hyperlink" Target="https://arxiv.org/abs/2001.09362" TargetMode="External" Id="rId18"/><Relationship Type="http://schemas.openxmlformats.org/officeDocument/2006/relationships/hyperlink" Target="https://arxiv.org/abs/2007.09736" TargetMode="External" Id="rId19"/><Relationship Type="http://schemas.openxmlformats.org/officeDocument/2006/relationships/hyperlink" Target="https://arxiv.org/abs/2008.09415" TargetMode="External" Id="rId20"/><Relationship Type="http://schemas.openxmlformats.org/officeDocument/2006/relationships/hyperlink" Target="https://arxiv.org/abs/2011.04650" TargetMode="External" Id="rId21"/><Relationship Type="http://schemas.openxmlformats.org/officeDocument/2006/relationships/hyperlink" Target="https://arxiv.org/abs/2102.01986" TargetMode="External" Id="rId22"/><Relationship Type="http://schemas.openxmlformats.org/officeDocument/2006/relationships/hyperlink" Target="https://arxiv.org/abs/2105.10184" TargetMode="External" Id="rId23"/><Relationship Type="http://schemas.openxmlformats.org/officeDocument/2006/relationships/hyperlink" Target="https://arxiv.org/abs/2110.05917" TargetMode="External" Id="rId24"/><Relationship Type="http://schemas.openxmlformats.org/officeDocument/2006/relationships/hyperlink" Target="https://arxiv.org/abs/2112.06333" TargetMode="External" Id="rId25"/><Relationship Type="http://schemas.openxmlformats.org/officeDocument/2006/relationships/hyperlink" Target="https://arxiv.org/abs/2504.12430" TargetMode="External" Id="rId26"/><Relationship Type="http://schemas.openxmlformats.org/officeDocument/2006/relationships/hyperlink" Target="https://arxiv.org/abs/2506.23363" TargetMode="External" Id="rId27"/><Relationship Type="http://schemas.openxmlformats.org/officeDocument/2006/relationships/hyperlink" Target="https://arxiv.org/abs/2310.02137" TargetMode="External" Id="rId28"/><Relationship Type="http://schemas.openxmlformats.org/officeDocument/2006/relationships/hyperlink" Target="https://arxiv.org/abs/2408.17266" TargetMode="External" Id="rId29"/><Relationship Type="http://schemas.openxmlformats.org/officeDocument/2006/relationships/hyperlink" Target="https://arxiv.org/abs/2302.11250" TargetMode="External" Id="rId30"/><Relationship Type="http://schemas.openxmlformats.org/officeDocument/2006/relationships/hyperlink" Target="https://arxiv.org/abs/2307.10607" TargetMode="External" Id="rId31"/><Relationship Type="http://schemas.openxmlformats.org/officeDocument/2006/relationships/hyperlink" Target="https://arxiv.org/abs/2401.06027" TargetMode="External" Id="rId32"/><Relationship Type="http://schemas.openxmlformats.org/officeDocument/2006/relationships/hyperlink" Target="https://arxiv.org/abs/2407.11768" TargetMode="External" Id="rId33"/><Relationship Type="http://schemas.openxmlformats.org/officeDocument/2006/relationships/hyperlink" Target="https://arxiv.org/abs/2411.14821" TargetMode="External" Id="rId34"/><Relationship Type="http://schemas.openxmlformats.org/officeDocument/2006/relationships/hyperlink" Target="https://arxiv.org/abs/2506.24001" TargetMode="External" Id="rId35"/><Relationship Type="http://schemas.openxmlformats.org/officeDocument/2006/relationships/hyperlink" Target="https://arxiv.org/abs/2509.10361" TargetMode="External" Id="rId36"/><Relationship Type="http://schemas.openxmlformats.org/officeDocument/2006/relationships/hyperlink" Target="https://arxiv.org/abs/2509.14357" TargetMode="External" Id="rId37"/><Relationship Type="http://schemas.openxmlformats.org/officeDocument/2006/relationships/hyperlink" Target="https://arxiv.org/abs/2509.03064" TargetMode="External" Id="rId38"/><Relationship Type="http://schemas.openxmlformats.org/officeDocument/2006/relationships/hyperlink" Target="https://arxiv.org/abs/2601.19161" TargetMode="External" Id="rId39"/></Relationships>
</file>

<file path=xl/worksheets/sheet1.xml><?xml version="1.0" encoding="utf-8"?>
<worksheet xmlns="http://schemas.openxmlformats.org/spreadsheetml/2006/main">
  <sheetPr>
    <outlinePr summaryBelow="1" summaryRight="1"/>
    <pageSetUpPr/>
  </sheetPr>
  <dimension ref="A1:L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52" customWidth="1" min="2" max="2"/>
    <col width="26" customWidth="1" min="3" max="3"/>
    <col width="30" customWidth="1" min="4" max="4"/>
    <col width="11" customWidth="1" min="5" max="5"/>
    <col width="30" customWidth="1" min="6" max="6"/>
    <col width="9" customWidth="1" min="7" max="7"/>
    <col width="13" customWidth="1" min="8" max="8"/>
    <col width="12" customWidth="1" min="9" max="9"/>
    <col width="14" customWidth="1" min="10" max="10"/>
    <col width="100" customWidth="1" min="11" max="11"/>
    <col width="60" customWidth="1" min="12" max="12"/>
  </cols>
  <sheetData>
    <row r="1" ht="30" customHeight="1">
      <c r="A1" s="1" t="inlineStr">
        <is>
          <t>Paper</t>
        </is>
      </c>
      <c r="B1" s="1" t="inlineStr">
        <is>
          <t>Title</t>
        </is>
      </c>
      <c r="C1" s="1" t="inlineStr">
        <is>
          <t>Family</t>
        </is>
      </c>
      <c r="D1" s="1" t="inlineStr">
        <is>
          <t>arXiv URL</t>
        </is>
      </c>
      <c r="E1" s="1" t="inlineStr">
        <is>
          <t>Preset</t>
        </is>
      </c>
      <c r="F1" s="1" t="inlineStr">
        <is>
          <t>Parameters</t>
        </is>
      </c>
      <c r="G1" s="1" t="inlineStr">
        <is>
          <t>Verified</t>
        </is>
      </c>
      <c r="H1" s="1" t="inlineStr">
        <is>
          <t>Question chars</t>
        </is>
      </c>
      <c r="I1" s="1" t="inlineStr">
        <is>
          <t>Question truncated</t>
        </is>
      </c>
      <c r="J1" s="1" t="inlineStr">
        <is>
          <t>Search space (digits)</t>
        </is>
      </c>
      <c r="K1" s="1" t="inlineStr">
        <is>
          <t>Question</t>
        </is>
      </c>
      <c r="L1" s="1" t="inlineStr">
        <is>
          <t>Answer</t>
        </is>
      </c>
    </row>
    <row r="2">
      <c r="A2" s="2" t="inlineStr">
        <is>
          <t>2311.00090</t>
        </is>
      </c>
      <c r="B2" s="2" t="inlineStr">
        <is>
          <t>Doubly-weighted zero-sum constants</t>
        </is>
      </c>
      <c r="C2" s="2" t="inlineStr">
        <is>
          <t>additive combinatorial structures</t>
        </is>
      </c>
      <c r="D2" s="3" t="inlineStr">
        <is>
          <t>https://arxiv.org/abs/2311.00090</t>
        </is>
      </c>
      <c r="E2" s="2" t="inlineStr">
        <is>
          <t>easy</t>
        </is>
      </c>
      <c r="F2" s="2" t="inlineStr">
        <is>
          <t>{"n": 64}</t>
        </is>
      </c>
      <c r="G2" s="4" t="inlineStr">
        <is>
          <t>yes</t>
        </is>
      </c>
      <c r="H2" s="5" t="n">
        <v>3144</v>
      </c>
      <c r="I2" s="2" t="inlineStr"/>
      <c r="J2" s="5" t="n">
        <v>19</v>
      </c>
      <c r="K2" s="6" t="inlineStr">
        <is>
          <t>Balanced doubly-weighted zero-sum witness
All arithmetic below is in the ring Z/18446744073709551616Z: reduce an integer modulo 18446744073709551616,
with residue representatives 0 through 18446744073709551615.  The input is an ordered
sequence of 64 residues, labelled by 1-based positions:
1: 5125821543982213238
2: 1885446857198079865
3: 1784102302261635709
4: 14888888820055909286
5: 10650267372227927280
6: 1283066103397798384
7: 18174129289355940941
8: 7012091250016467664
9: 3000438492122948673
10: 11954142942718655192
11: 11713281966713340531
12: 13450015493620327431
13: 8527195849335553775
14: 12628903898023244582
15: 14850473871353034915
16: 4938947538669714523
17: 11858523945066023525
18: 4886176751863151491
19: 7367638952773315056
20: 9399101105401083268
21: 13941720072365397720
22: 2022669518369799574
23: 7097704095687072272
24: 18375196213244601545
25: 13851250634050167604
26: 11823658297578414819
27: 5414121733845069545
28: 8369725103947974346
29: 14055721717480188255
30: 16835012238916414748
31: 11534752662811201046
32: 3669262207937771719
33: 14065841566123610476
34: 11048577505222294225
35: 359282477494518661
36: 4417115578808483583
37: 1452811136191383414
38: 14127151791164321382
39: 12170254566408733533
40: 10142086230098357452
41: 13151587223000228575
42: 6888392457627527310
43: 9547589106029894603
44: 4573051503924355479
45: 6236577953298514012
46: 10218048544868886114
47: 4062293827587932914
48: 4223230570631682528
49: 14895690528729645344
50: 1740003900829643871
51: 7951490880260741114
52: 7583498532299974161
53: 13449075713242326956
54: 1815489335993829697
55: 9047494945271948499
56: 15895052870713844081
57: 3534213002786500868
58: 8275459412467516900
59: 3384756894773047137
60: 1390605763237061244
61: 1806097268602969763
62: 4360431947084996517
63: 8958497587230064762
64: 15949984550721430657
A subsequence means terms chosen at distinct positions while retaining their
original order.  In this instance the subsequence must use ALL 64 positions.
For every chosen position i, choose a first weight a_i from
A = {1, 18446744073709551615}; the residue 18446744073709551615 means -1 modulo 18446744073709551616.  The second
weight is forced to b_i=1 because B={1}.
Find weights satisfying both defining congruences:
  sum(a_i*x_i for i=1..64) = 0 (mod 18446744073709551616)
  sum(b_i*a_i for i=1..64) = 0 (mod 18446744073709551616).
Report the weights as two groups of positions.  "plus" contains exactly
32 positions given weight +1; "minus" contains exactly 32
positions given weight -1.  The two lists must be disjoint and together must
be exactly the positions 1 through 64.  List order does not matter.  Repeats
are forbidden.  These shape rules make the second congruence explicit; the
first congruence is equivalently
sum(x_i for i in plus) - sum(x_i for i in minus) = 0 (mod 18446744073709551616).
Give your final answer inside &lt;answer&gt;&lt;/answer&gt; tags, as one JSON object with
exactly the keys "plus" and "minus", each mapped to a JSON list of integers.
Syntax example for a four-position instance:
&lt;answer&gt;{"plus":[1,3],"minus":[2,4]}&lt;/answer&gt;
Output nothing else inside the tags.</t>
        </is>
      </c>
      <c r="L2" s="6" t="inlineStr">
        <is>
          <t>{"plus": [1, 2, 3, 6, 7, 9, 11, 13, 14, 15, 16, 18, 27, 28, 29, 33, 35, 36, 38, 39, 44, 45, 48, 52, 53, 54, 57, 59, 61, 62, 63, 64], "minus": [4, 5, 8, 10, 12, 17, 19, 20, 21, 22, 23, 24, 25, 26, 30, 31, 32, 34, 37, 40, 41, 42, 43, 46, 47, 49, 50, 51, 55, 56, 58, 60]}</t>
        </is>
      </c>
    </row>
    <row r="3">
      <c r="A3" s="2" t="inlineStr">
        <is>
          <t>2411.19413</t>
        </is>
      </c>
      <c r="B3" s="2" t="inlineStr">
        <is>
          <t>$S_h$-sets and linear codes over $\mathbb{F}_q$</t>
        </is>
      </c>
      <c r="C3" s="2" t="inlineStr">
        <is>
          <t>additive combinatorial structures</t>
        </is>
      </c>
      <c r="D3" s="3" t="inlineStr">
        <is>
          <t>https://arxiv.org/abs/2411.19413</t>
        </is>
      </c>
      <c r="E3" s="2" t="inlineStr">
        <is>
          <t>standard</t>
        </is>
      </c>
      <c r="F3" s="2" t="inlineStr">
        <is>
          <t>{"n": 160, "rows": 92, "weight": 16, "marker_vertices": 12, "marker_edges": 18}</t>
        </is>
      </c>
      <c r="G3" s="4" t="inlineStr">
        <is>
          <t>yes</t>
        </is>
      </c>
      <c r="H3" s="5" t="n">
        <v>16616</v>
      </c>
      <c r="I3" s="2" t="inlineStr"/>
      <c r="J3" s="5" t="n">
        <v>22</v>
      </c>
      <c r="K3" s="6" t="inlineStr">
        <is>
          <t>Exact-weight binary syndrome problem
All vectors below belong to the binary vector space F_2^r. Addition in
this space is coordinatewise XOR: 0+0=0, 0+1=1, and 1+1=0.
Here r=92. Each displayed bit string has exactly 92 coordinates;
the leftmost displayed bit is coordinate 1 and the rightmost is coordinate r.
Choose exactly h=16 DISTINCT vectors from the n=160 indexed vectors
so that their XOR is exactly the target. Each index may be used at most once.
Indices are 1-based and inclusive (1 through n). Order does not matter.
target: 00111011001110011000010100111001111100000010011111010011011010010111101101001001110010001011
vectors:
  1: 00111111000001111111100000011001000111010110001111110111100011100011111010011101111010011010
  2: 10001101000001011101100110000010110010011001100110100100011001000111011011000111000101001100
  3: 11011001110000100001111001100100110010001010000100011101000001000011000000100111111001100010
  4: 11110001000011000111000110000001111010110000111000111000101001100111010111011101010110110000
  5: 01101000011000111111100001100101100110001010110011001100000011010001101111001010110100110001
  6: 10011110000000101110111010101110001010011001011010110110010101111010111111010001111101101001
  7: 01001100110011001001101111001010010100111111100010100010100010101011111100111110001111111101
  8: 00110101001111001001100111110010101010010111010000000001011000011001111010100100110100000011
  9: 01001111111111010011000101001110100001001001100110111011110011100100110000001000011110101010
 10: 01100111010111110101010011011111111110101000010100101100001000101100101010001000011011100101
 11: 01111101010000111010010001011100010110100111111101010101110110111001101100000000001100101011
 12: 10110011111111001001000110110011111100110101110000000000001000110001110011000101010110111011
 13: 01001011011000101010011110000000000000001110100000001001000001001000101101101010010111011111
 14: 00100100010110100001010101010111000000101111010001101100011000111011110000110110011110110111
 15: 10001011011000010001011011100000001110011011011001101010100001101110111011111111110101001000
 16: 10101011011100110010100101010011010001001010010101001011100001000010110000011000101001100011
 17: 11111000000001101000000001100011100100101111011101000110001000101100111001010000001110100111
 18: 01110110001010101100111010001000101010101001010100010100101010100100010011010110111111111100
 19: 11010100010010010101100110000001011011011001110111001100101000000100000010101100110011011001
 20: 10001111101111000000000101110110010011000000100111110011010110100011110000001011000011010100
 21: 11000001111011001001010111000110001111010001111110111000100011101001011101011001110010101000
 22: 10110100110111101000101101011000101000000001000100111110010000111001000011111101111000111110
 23: 00010111001110100111011001011001101100111101111010010000010110000000011110100110100110010011
 24: 11011100001110010001111000101010001001010101111010001100101101011001011001110101100010011110
 25: 10011001000101000101001111010010111111100101010111010110110100000101011011101010100110100010
 26: 10011000101110001111101010100111110010100001011111011010100011101110100000101011100111000011
 27: 10101101000110111001110011011100000000111111001100001110101011000010011100101111101101101101
 28: 11101111001001110010010001011001111001100001100110011000000000000111001110010001111111110110
 29: 00010010100100100010111110001110111110001100010010000101101111000000011110100011000011110011
 30: 01100100101100000101101000101011101011000110000001100100001001011010100001000110101010011101
 31: 11110000001010011010111011010000000111000101000101010101110100111110100000011001010010011111
 32: 01001110110110110011001100101001111110101100000110100011010011000000010100100000101101100001
 33: 00111000011010010011001100100000101011100111100111100010111000110110010110111010101000000001
 34: 01000000100101101100010000111101111100110100110011011000100111110000101110000010010000000111
 35: 00010011101111101111100011000110001101000010001111000010110111011011111110001101001010110000
 36: 10000010011011000100110101101101001001010001110000000001000000100000001110010010110010000001
 37: 00010011111000001101011100110011100000110100100000111001110001000010101011011001001110000101
 38: 00110110111110111010110000010001101100011001001010100000000110011110001100110101101010001001
 39: 00111110101010101001111101111101110010101101010011101101100101011100000000110000011100101101
 40: 00000010110000110101101100110110000110100101001100110111011101110001100101111101111111101101
 41: 01001011111011110011111100000100011101010011100100010001110110001011101011111111011101111101
 42: 01110000110011010000101101101000101101100011011000010110001101010001001110110111111110011010
 43: 11111100111000111110001011001001100001101001110100110001010111101000110001011101110001100011
 44: 11110000001000001010011011001001001001111110100101111111110001111100110111110011011111110011
 45: 11111001110100011011000110011001111110010110001100101100101110111101101110010100111011011100
 46: 00111101000110101000010111010101000001101110010110101001101010110111010110000101100010001110
 47: 10000000000101010010101110101000001001000110001110000001010100110011110101011110001000110101
 48: 11001000100010101111001101101101010001010010101000111101100011110110001000010010101110010100
 49: 11111011110101101110010111100010011100011101100110011101010101111000001111010111001100101001
 50: 11000011110010011111101001110011111100000000100001000100001011110100010101001000110111111110
 51: 01100110101010000100100010100110111110011101101000111000101000100111011000110101110110001100
 52: 01111010111100000110110010000111010111110000011101111010011101110111011001000010100100010111
 53: 00011010001000110111001101010100010101111001011111001101110011000111101000110110011001101100
 54: 01111100100000010000000011011001000110110101111001111001100101111100010110100011101011011101
 55: 01101011010100100101001011100001010011111100110111010101010010011110100011111100100101100110
 56: 10000011110000101001101000000010001000010101110010100111010001100011000101101111011001000011
 57: 10110101001110011101111110001011111000111001111110000111100101010111111011010101111111110001
 58: 10010001110101100000101001111011100000100101111011000001101001011100110010101011000110011000
 59: 01100101111001110001100101011101111101110010001101101111010011100101000110111111101001000100
 60: 01000001000000000101100001000010100101011011101010111100010010011001000001010111100110010110
 61: 10010001100111101100001001000100111110000101111011110100101110100100000110011101010010001000
 62: 11010010001010010101010010110100001100110001010101000101011111011111110100001110000011010101
 63: 00010011111001000110000001000001111000110111100010100010010101011110010010011101100110111001
 64: 11111110111010011010100011010001010010111010000010000101111111010011100111000011011111001011
 65: 11110101001001011101101011011100101010010001101101100111000010100001010000010001000110100011
 66: 10011110101010111101001000100010101101001101100111101010111111000000101011110110101000000110
 67: 01010011000101000110111011111011001001000000001010000101011000101101110000101111111000000110
 68: 01100010010111000000000000001110100101011111001011110101111100001001111010111010011010000111
 69: 00001011000000000101010100110001010011111100000111000010000010001111101101101110100001000111
 70: 00000011011011101111010000011001000001000111000000110000101110110100001110100011101011100100
 71: 00000011100110100110110110100000100101111010000001100100101000110011101010011011110111011010
 72: 00100010010110100110000100000001110100011100010000110010011001111100111111000001101001000111
 73: 01010110101100010000110001000101000000000001011100111110101010001111110111010000110000011011
 74: 10111111000100001100110101101111010000101001111010011111001110000100010011001101001110000100
 75: 10101000101110001010100100110111011110100011010101001011000101001000010001000100100101101000
 76: 10001010011011101111100011110001101011100000010000011100110101000110111110010000111001000010
 77: 01011101100111110010100011001010100001011110100100000011010001011000010111101010101101110001
 78: 10101000010000101000001111010111100100111100010001010010110000001101111100101110111000110100
 79: 01000010101101111010111101000110100010010111011110011110101100101000000010010101100010011111
 80: 00001001000111010010100011111101010101000100011110011100001011011011000001110110111001010011
 81: 11011011011110000101000001110101000010110010110001101001000010101111011111101110100011101110
 82: 10010110010010010001010100101110001101010111111111111010101101000001101011001110100010000110
 83: 11101111010010001110100011010101000011111101100111010011111110000101110101010001011010010110
 84: 10011000100101011011000010101001000011111010011110111010101111101101110000100010110100111100
 85: 11010001011100010010110100011010011011000010000111011001101110001101001110100111010001010101
 86: 10010001100111100110000101110001100110100101111110000111101010110011110010110111100111010000
 87: 00110000010011001001011001010011111010100110110111100101100110110100000010111011101000000001
 88: 11000011000000000111011010101110000011100001011100100110000011100100110100011010111101011111
 89: 01100110010010010000101001001111011001011010100110011101111010001001010001101110010100011110
 90: 10011000111001110111001101001000010110101001000100110101101000100011011010000001010101000100
 91: 01101100101111010011111000011000100010001000001101001100110000110001101111000111000101101111
 92: 00100001101100001000110100000100010111111100001010101000010110101010010110010100010110100001
 93: 10111011010011101111000110011010001101101011101101011110011011001011101000110100101000001011
 94: 10000001010111011111011110010000100000011101101110010100100111000000110001111000110000111111
 95: 00100101010010010000010000100001110010001110001000010000110010100000000001111001111101011100
 96: 11110001111001010111110101011010001011110101001001111101000001001001100000011001111100101110
 97: 01111011100011101101100011100011001011001010001100010010001111011111001000010010000010100010
 98: 01111111111111111101101001011110000011000001010111001000000101101010000010100100111010100110
 99: 00000110110011110000010100110000111110111111000111000001101100000010000001101010010110111100
100: 11100000010010000111111101101110110011110100001010001100100010101111011000001100001010100011
101: 00000011011011101101110100000011100011010011111101101010111101110010010101101101011001000111
102: 11100010001001110011110000101001001101010001111100111110101001001110111111111001010010010000
103: 10010111111101101101101001000110000010110001000101101101011101100010100101110011100000000101
104: 01110011100110010001010110101000110100000101000001100000101010101011011101111010011101110100
105: 00100001100000010011110100100110010101010010001110001010011001000011111111110101000000010010
106: 10101110111010111111011001001101110100001010101000110101011111011100100101011010001100100010
107: 01010110101101000111000101011111001010000100011111110001111110010010000000001000010000011011
108: 10010111000100011101101011110010000011111001001010011010001101000110111110001010111101010100
109: 01100100000000110111001101110010101110110010011111010111111101111101101011011111010100101111
110: 10010000101100101011011000111001010101101011100011000000110010101000010010011001101110010011
111: 00001010001011001000001001111001100000110010011010000101011010010100001101000000101000000100
112: 00100010101100001001011110100010100000100100001010010011001000001100110011000011010001000101
113: 10011111101100100010000110000010100101100010001110011111101110000010111111000100111110100110
114: 00110000001111011010100011110111100011011101001010110101101101111101101101000110110001100000
115: 01111010100100010101111011111011100000011010100001110101111010011011000101111001101111011000
116: 11101011110100011110000011100011010000010001010001110010011111110101001001001101111100010010
117: 10111110110110000100010000000010000100000001100100000010110000010110001110011100010100001001
118: 10011101001011101110110001100010100101101111010110011100111001110010001001011111001001000110
119: 11111110110100010110101111101100000000101011100011001101001011110100011001000110100110001101
120: 01100011011110010000011001101101000010110001101010100110001111011110111000001011110110100001
121: 11101101110101000010010100110101000011110000111111010000101001110101000011001010101101110110
122: 10100110111000101111110001010010101001011010110001111111000001100100111000110011101100011111
123: 10001011111000101101001011011000100100010101011001000111110000011001010011000000001001100101
124: 01101100000010010000100111101111010100010001010110000111011000010011111110100001111011000101
125: 10101101001100100100101111010101111110001111111011010111111101100010000000100111111111000100
126: 11001111100001110101011100111001011111110101001111101000110111011100101011000011000010001010
127: 10101111000111110001101010010001110011011100001001100001000100011111110011100111001011011011
128: 11011011110011101111010111010001010001100010101110111011000001001101111000100001101110111111
129: 00110111011011110001110110100000101001101101001101011010010000100011100000110110110001101011
130: 11101011101010000101010100011010111000010101111100100011011100100110011001110101000100001110
131: 11010100011110101001101000011001111010000011000101010101010001101000011100100000011001000010
132: 10001111001011101110001000000100000110011101011100110101010101011000000100101111000001011000
133: 00011001000100111110010011010100001100101111110110110101111100110010000000011111001101110001
134: 11000111010111110000011101110110010110011001011101111011101010111110001010110011100101011110
135: 10000010111010011101001001101100101110010101010000011111010010101010010000111100010000010110
136: 10000010011011101000110110110111000001000101100110110011111110010110011001010111001101110100
137: 00011110111111101101000000010111100010111011111001100110111110011011111101010000011010010011
138: 00001001110100010011000111001111100111110000011010000001001011001100011011010011001010001101
139: 11000000111011010111111101000010000000100100111111101001111001110011001110110010010100001111
140: 10110011110010100101000001100000110101011000010000001010101001001100001101100100100011011110
141: 00111100001101100101001010011101110010100000001011101110110010101100110110101011101011001101
142: 00111110011001111100011101001001101001110011011110011100101010001010100000111010110101010111
143: 01100110000111010001011100110001111001100101001100110010001000100111110011101100101010100010
144: 10111000010010101000001000000011000110100100000000001100111011011100101011101000101011110101
145: 01110101101100010111001110111000010110010011100110010001010011010010001000110101101010110111
146: 10010111001010001100100101000101010110010111100110100001110000001010111110101001011001001110
147: 11011011001001010110101100110010010101010011011110010000010010110000110011010001110100011000
148: 01110010010010010000111101010001001010011100101110011000101101111001001111011101000100001110
149: 01101101111101001111000001100100100001001000010011001100001110011100000100101110010010101111
150: 11000000110000001011000000001111011000111000011000011011011001101100001111011100011101000001
151: 00100100111011100010110101111010010011011110001100111101111010010011011111000100110011000010
152: 01101111011100011100011011001011111010100101101010011100101111000000111000111000010000010010
153: 11001010011011001100010110011001110111010111101011011111000110010000111000001010001100001110
154: 11011111101011110001011101010111110110110101110000011111010100111001111111101011000110101101
155: 11011100000100011101111011000110111101100111111101101001010001001101000011011111110010111000
156: 10101011011101101101010110001011100001001101010111100100100000011011001101110110011011000101
157: 00110101101100101011010001111001011110000101010010001100010101111110001111000011101000100110
158: 11000110011101011011000101000101001011001111011110010111010111101111111000000111011101010010
159: 00101001110110001000001110101110011100011101101001010011001000101000100100100001100001110110
160: 00101110000010000111001010111110110010101101110101000000001000001100101000011000100100111010
Give your final answer inside &lt;answer&gt;&lt;/answer&gt; tags, as exactly
16 comma-separated decimal indices. Repeats are forbidden; order is ignored.
Example of the required syntax (not a hint): &lt;answer&gt;1, 2, 3, 4, 5, 6, 7, 8, 9, 10, 11, 12, 13, 14, 15, 16&lt;/answer&gt;
Output nothing else inside the tags.</t>
        </is>
      </c>
      <c r="L3" s="6" t="inlineStr">
        <is>
          <t>[7, 8, 9, 23, 24, 27, 29, 36, 56, 58, 60, 63, 71, 109, 140, 152]</t>
        </is>
      </c>
    </row>
    <row r="4">
      <c r="A4" s="2" t="inlineStr">
        <is>
          <t>2603.07251</t>
        </is>
      </c>
      <c r="B4" s="2" t="inlineStr">
        <is>
          <t>$\{\pm 1\}$-weighted zero-sum constants</t>
        </is>
      </c>
      <c r="C4" s="2" t="inlineStr">
        <is>
          <t>additive combinatorial structures</t>
        </is>
      </c>
      <c r="D4" s="3" t="inlineStr">
        <is>
          <t>https://arxiv.org/abs/2603.07251</t>
        </is>
      </c>
      <c r="E4" s="2" t="inlineStr">
        <is>
          <t>easy</t>
        </is>
      </c>
      <c r="F4" s="2" t="inlineStr">
        <is>
          <t>{"n": 64}</t>
        </is>
      </c>
      <c r="G4" s="4" t="inlineStr">
        <is>
          <t>yes</t>
        </is>
      </c>
      <c r="H4" s="5" t="n">
        <v>3167</v>
      </c>
      <c r="I4" s="2" t="inlineStr"/>
      <c r="J4" s="5" t="n">
        <v>19</v>
      </c>
      <c r="K4" s="6" t="inlineStr">
        <is>
          <t>Balanced {+1,-1}-weighted zero-sum witness
All arithmetic below is in the ring Z/18446744073709551616Z: reduce every integer modulo 18446744073709551616,
using residue representatives 0 through 18446744073709551615.  The input is this ordered
sequence of 64 residues, labelled by 1-based positions:
1: 5125821543982213238
2: 1885446857198079865
3: 1784102302261635709
4: 14888888820055909286
5: 10650267372227927280
6: 1283066103397798384
7: 18174129289355940941
8: 7012091250016467664
9: 3000438492122948673
10: 11954142942718655192
11: 11713281966713340531
12: 13450015493620327431
13: 8527195849335553775
14: 12628903898023244582
15: 14850473871353034915
16: 4938947538669714523
17: 11858523945066023525
18: 4886176751863151491
19: 7367638952773315056
20: 9399101105401083268
21: 13941720072365397720
22: 2022669518369799574
23: 7097704095687072272
24: 18375196213244601545
25: 13851250634050167604
26: 11823658297578414819
27: 5414121733845069545
28: 8369725103947974346
29: 14055721717480188255
30: 16835012238916414748
31: 11534752662811201046
32: 3669262207937771719
33: 14065841566123610476
34: 11048577505222294225
35: 359282477494518661
36: 4417115578808483583
37: 1452811136191383414
38: 14127151791164321382
39: 12170254566408733533
40: 10142086230098357452
41: 13151587223000228575
42: 6888392457627527310
43: 9547589106029894603
44: 4573051503924355479
45: 6236577953298514012
46: 10218048544868886114
47: 4062293827587932914
48: 4223230570631682528
49: 14895690528729645344
50: 1740003900829643871
51: 7951490880260741114
52: 7583498532299974161
53: 13449075713242326956
54: 1815489335993829697
55: 9047494945271948499
56: 15895052870713844081
57: 3534213002786500868
58: 8275459412467516900
59: 3384756894773047137
60: 1390605763237061244
61: 1806097268602969763
62: 4360431947084996517
63: 8958497587230064762
64: 15949984550721430657
A subsequence normally chooses distinct positions while retaining their input
order.  In this problem the subsequence must use ALL 64 positions.  At every
position i choose a weight a_i from A={1,18446744073709551615}, where residue 18446744073709551615
means -1 modulo 18446744073709551616.  The second weight is forced to b_i=1 because B={1}.
Find weights satisfying both congruences from the definition:
  sum(a_i*x_i for i=1..64) = 0 (mod 18446744073709551616)
  sum(b_i*a_i for i=1..64) = 0 (mod 18446744073709551616).
Report the weights as two groups of positions.  "plus" must contain exactly
32 positions assigned +1; "minus" must contain exactly 32
positions assigned -1.  The lists must be disjoint and together contain every
integer position from 1 through 64.  Positions are 1-indexed, list order does
not matter, and repeated positions are forbidden.  These shape rules make the
second congruence hold; the first is equivalently
  sum(x_i for i in plus) - sum(x_i for i in minus) = 0 (mod 18446744073709551616).
Give your final answer inside &lt;answer&gt;&lt;/answer&gt; tags, as one JSON object with
exactly the keys "plus" and "minus", each mapped to a JSON list of integers.
Syntax example for a four-position instance:
&lt;answer&gt;{"plus":[1,3],"minus":[2,4]}&lt;/answer&gt;
Output nothing else inside the tags.</t>
        </is>
      </c>
      <c r="L4" s="6" t="inlineStr">
        <is>
          <t>{"plus": [1, 2, 3, 6, 7, 9, 11, 13, 14, 15, 16, 18, 27, 28, 29, 33, 35, 36, 38, 39, 44, 45, 48, 52, 53, 54, 57, 59, 61, 62, 63, 64], "minus": [4, 5, 8, 10, 12, 17, 19, 20, 21, 22, 23, 24, 25, 26, 30, 31, 32, 34, 37, 40, 41, 42, 43, 46, 47, 49, 50, 51, 55, 56, 58, 60]}</t>
        </is>
      </c>
    </row>
    <row r="5">
      <c r="A5" s="2" t="inlineStr">
        <is>
          <t>2603.20961</t>
        </is>
      </c>
      <c r="B5" s="2" t="inlineStr">
        <is>
          <t>Graham conjecture on small sets in abelian groups</t>
        </is>
      </c>
      <c r="C5" s="2" t="inlineStr">
        <is>
          <t>additive combinatorial structures</t>
        </is>
      </c>
      <c r="D5" s="3" t="inlineStr">
        <is>
          <t>https://arxiv.org/abs/2603.20961</t>
        </is>
      </c>
      <c r="E5" s="2" t="inlineStr">
        <is>
          <t>easy</t>
        </is>
      </c>
      <c r="F5" s="2" t="inlineStr">
        <is>
          <t>{"n": 120, "slack": 6}</t>
        </is>
      </c>
      <c r="G5" s="4" t="inlineStr">
        <is>
          <t>yes</t>
        </is>
      </c>
      <c r="H5" s="5" t="n">
        <v>1507</v>
      </c>
      <c r="I5" s="2" t="inlineStr"/>
      <c r="J5" s="5" t="n">
        <v>199</v>
      </c>
      <c r="K5" s="6" t="inlineStr">
        <is>
          <t>Cyclic distinct-partial-sums problem
Work in the cyclic additive group Z/127Z.  Its elements are the integer residues
0, 1, ..., 126; addition and every sum below are reduced modulo 127.
The following is an unordered set A of 120 distinct nonzero residues:
A = [62, 28, 3, 40, 13, 71, 96, 121, 89, 60, 65, 84, 6, 8, 61, 50, 22, 42, 38, 54, 16, 14, 87, 41, 77, 37, 83, 69, 117, 74, 47, 20, 126, 67, 64, 81, 122, 70, 45, 9, 118, 106, 48, 36, 105, 52, 5, 66, 18, 25, 97, 76, 112, 111, 82, 73, 11, 24, 88, 99, 90, 58, 102, 4, 43, 103, 93, 100, 113, 26, 7, 109, 79, 85, 1, 107, 119, 120, 108, 94, 95, 19, 34, 39, 78, 124, 63, 35, 114, 44, 49, 104, 80, 59, 30, 46, 75, 86, 33, 51, 17, 116, 27, 125, 110, 56, 53, 123, 68, 23, 72, 2, 31, 101, 115, 57, 32, 55, 15, 29]
Find a sequencing of A: output an ordered list a_1, ..., a_120 that uses every
member of A exactly once, with no repetitions.  For each 1-indexed position i,
define the inclusive partial sum p_i = (a_1 + ... + a_i) mod 127.  The residues
p_1, ..., p_120 must be pairwise distinct, and p_i must be nonzero for every
1 &lt;= i &lt; 120.  (The total sum p_120 is fixed by A and is nonzero in this
instance.)  Order matters.  Only the displayed canonical representatives
0 through 126 may be used.
Give your final answer inside &lt;answer&gt;&lt;/answer&gt; tags, as exactly 120 base-10
integers separated by commas, in the desired order.  Do not put brackets around
the list.  Example of syntax only: &lt;answer&gt;3, 17, 42&lt;/answer&gt;
Output nothing else inside the tags.</t>
        </is>
      </c>
      <c r="L5" s="6" t="inlineStr">
        <is>
          <t>[9, 63, 56, 73, 71, 108, 5, 25, 86, 46, 107, 22, 44, 7, 95, 11, 120, 35, 75, 90, 125, 99, 101, 15, 31, 93, 106, 81, 117, 74, 88, 59, 48, 42, 1, 37, 53, 6, 122, 110, 76, 65, 77, 113, 111, 89, 36, 50, 39, 34, 116, 49, 102, 20, 30, 41, 4, 118, 55, 69, 13, 43, 72, 29, 40, 112, 8, 114, 28, 26, 84, 18, 2, 105, 82, 100, 96, 51, 14, 79, 45, 66, 123, 70, 83, 3, 94, 17, 58, 78, 67, 47, 54, 23, 97, 24, 85, 121, 64, 124, 103, 52, 126, 38, 57, 19, 62, 104, 16, 119, 115, 109, 33, 27, 61, 60, 68, 80, 32, 87]</t>
        </is>
      </c>
    </row>
    <row r="6">
      <c r="A6" s="2" t="inlineStr">
        <is>
          <t>2205.04710</t>
        </is>
      </c>
      <c r="B6" s="2" t="inlineStr">
        <is>
          <t>Matrix Waring Problem -- II</t>
        </is>
      </c>
      <c r="C6" s="2" t="inlineStr">
        <is>
          <t>algebraic decomposition</t>
        </is>
      </c>
      <c r="D6" s="3" t="inlineStr">
        <is>
          <t>https://arxiv.org/abs/2205.04710</t>
        </is>
      </c>
      <c r="E6" s="2" t="inlineStr">
        <is>
          <t>hard</t>
        </is>
      </c>
      <c r="F6" s="2" t="inlineStr">
        <is>
          <t>{"n": 24}</t>
        </is>
      </c>
      <c r="G6" s="4" t="inlineStr">
        <is>
          <t>yes</t>
        </is>
      </c>
      <c r="H6" s="5" t="n">
        <v>1728</v>
      </c>
      <c r="I6" s="2" t="inlineStr"/>
      <c r="J6" s="5" t="n">
        <v>947</v>
      </c>
      <c r="K6" s="6" t="inlineStr">
        <is>
          <t>Matrix Waring witness problem over a prime field
Let F_p be the field of integers modulo the prime p=21789309426606147004390309175379418434209095816567392007375406252547884139637957468112089238951358349366065278639669249.  All additions and
multiplications below are performed modulo p, with residues represented by the
integers 0 through p-1 inclusive.
The exponent is k=16777216.  For a square matrix X, X^k means the ordinary matrix
product of exactly k copies of X; it is not entrywise exponentiation.  Matrix
row and column indices are 0-based.  Find two 2 by 2 matrices A and B over
F_p such that
    A^k + B^k = T.
The order of A and B does not matter, repeats are allowed, and every entry must
be an integer in the inclusive range 0..p-1.  The target T is given row by row:
21032838841068915677659325287686069127747387149176285514391699764688179153467269381991766062152309398819121158304283418 15658411910059636389495710156331519550917411278378503737707697287757731863363682292234154699821300976588864679874150726
13691557940191567970212734460123580403477671069302642109345753596314491461460888490380094321695979865538462075012038797 19725813694942948962642682728612206182721020215457612862384972732411067820837477400486895635064804406784060480097318704
Your witness must contain exactly two matrices, each with exactly 2 rows and
2 entries per row.  Use JSON with the exact keys "A" and "B".
Give your final answer inside &lt;answer&gt;&lt;/answer&gt; tags, as
&lt;answer&gt;{"A":[[a00,a01],[a10,a11]],"B":[[b00,b01],[b10,b11]]}&lt;/answer&gt;
with the obvious same row shape if the displayed dimension is not 2.
Example of the required syntax: &lt;answer&gt;{"A":[[0,0],[0,0]],"B":[[0,0],[0,0]]}&lt;/answer&gt;
Output nothing else inside the tags.</t>
        </is>
      </c>
      <c r="L6" s="6" t="inlineStr">
        <is>
          <t>{"A": [[270664213911209592072218164654297012647542334775852128950150626865964369008470682617440334268176916697599729211999785, 4111071144983574645461974471703787484629180766699551754841076722197725208325210017372424008938038854131647710383649547], [21649803663680496024161565800280628407503914833747793880426755151474913147295689497558926652400524823995807685347782929, 14612695273202611152972311983994230356743945348689383249512511724777950275515752744874523503989526643385543304227887992]], "B": [[9411378708872646944032651960872471161731061085693654239484024628369845962343942996032892022811318920675233182486714815, 6589781076447272822525669729165248230979119782329016516852994747653883736904231081756883203544750186602782440400922757], [5770772588258990707199030943572912538019210281056196899756391711740666633316186439510483573706015229169139685092668990, 16099010896091225857539520457931135882945540571117552253733682199186579598824831327917321871352810744611899633063374814]]}</t>
        </is>
      </c>
    </row>
    <row r="7">
      <c r="A7" s="2" t="inlineStr">
        <is>
          <t>2309.11256</t>
        </is>
      </c>
      <c r="B7" s="2" t="inlineStr">
        <is>
          <t>Tropical cryptography III: digital signatures</t>
        </is>
      </c>
      <c r="C7" s="2" t="inlineStr">
        <is>
          <t>algebraic decomposition</t>
        </is>
      </c>
      <c r="D7" s="3" t="inlineStr">
        <is>
          <t>https://arxiv.org/abs/2309.11256</t>
        </is>
      </c>
      <c r="E7" s="2" t="inlineStr">
        <is>
          <t>medium</t>
        </is>
      </c>
      <c r="F7" s="2" t="inlineStr">
        <is>
          <t>{"n": 36, "coefficient_max": 127}</t>
        </is>
      </c>
      <c r="G7" s="4" t="inlineStr">
        <is>
          <t>yes</t>
        </is>
      </c>
      <c r="H7" s="5" t="n">
        <v>2102</v>
      </c>
      <c r="I7" s="2" t="inlineStr"/>
      <c r="J7" s="5" t="n">
        <v>148</v>
      </c>
      <c r="K7" s="6" t="inlineStr">
        <is>
          <t>FORMAL TROPICAL POLYNOMIAL FACTORIZATION
A coefficient list A=[a_0,...,a_n] denotes a formal one-variable
polynomial.  Tropical multiplication of A and B=[b_0,...,b_n] is the
coefficient list C=[c_0,...,c_{2n}] defined exactly by
    c_k = min(a_i + b_j over all integers i,j with 0&lt;=i,j&lt;=n and i+j=k).
The plus sign inside that formula is ordinary integer addition.  Equality is
equality of every formal coefficient, not merely equality of the functions
obtained by evaluating the polynomials.
Here n=36.  Find two lists A and B, each containing exactly 37 ordinary
    integers.  Both lists must have endpoint coefficients zero,
a_0=a_36=b_0=b_36=0.  Every non-endpoint entry must lie in the inclusive
range [1,127].  A and B may be equal; no entries may be omitted;
repeated coefficient values are allowed.  The order of the two factors does
not matter, but the position within each list is its degree and is 0-indexed.
Their tropical product must equal the public C below at every degree.
Public coefficients, one line as "degree: coefficient":
0: 0
1: 36
2: 15
3: 4
4: 1
5: 36
6: 16
7: 5
8: 18
9: 36
10: 14
11: 30
12: 19
13: 28
14: 15
15: 12
16: 32
17: 14
18: 5
19: 4
20: 12
21: 16
22: 6
23: 5
24: 13
25: 4
26: 25
27: 6
28: 26
29: 5
30: 10
31: 16
32: 25
33: 24
34: 20
35: 11
36: 0
37: 16
38: 15
39: 4
40: 1
41: 30
42: 18
43: 16
44: 18
45: 11
46: 10
47: 18
48: 20
49: 21
50: 20
51: 12
52: 10
53: 14
54: 5
55: 4
56: 12
57: 28
58: 30
59: 45
60: 15
61: 4
62: 37
63: 6
64: 45
65: 59
66: 69
67: 16
68: 40
69: 29
70: 49
71: 11
72: 0
Give your final answer inside &lt;answer&gt;&lt;/answer&gt; tags as one JSON object with
exactly the keys "factor_a" and "factor_b", whose values are the two integer
lists in increasing degree order.
Example of the required shape (the values shown are only a format example):
&lt;answer&gt;{"factor_a":[0, 0, 0, 0, 0, 0, 0, 0, 0, 0, 0, 0, 0, 0, 0, 0, 0, 0, 0, 0, 0, 0, 0, 0, 0, 0, 0, 0, 0, 0, 0, 0, 0, 0, 0, 0, 0],"factor_b":[0, 0, 0, 0, 0, 0, 0, 0, 0, 0, 0, 0, 0, 0, 0, 0, 0, 0, 0, 0, 0, 0, 0, 0, 0, 0, 0, 0, 0, 0, 0, 0, 0, 0, 0, 0, 0]}&lt;/answer&gt;
Output nothing else inside the tags.</t>
        </is>
      </c>
      <c r="L7" s="6" t="inlineStr">
        <is>
          <t>{"factor_a": [0, 82, 15, 4, 95, 36, 32, 29, 18, 95, 14, 87, 95, 115, 70, 12, 76, 55, 5, 4, 12, 28, 30, 65, 78, 4, 72, 26, 92, 84, 90, 70, 54, 29, 58, 76, 0], "factor_b": [0, 36, 104, 112, 1, 98, 104, 21, 90, 55, 44, 36, 20, 28, 123, 98, 44, 14, 12, 49, 13, 46, 109, 45, 78, 34, 104, 6, 94, 59, 69, 16, 125, 119, 49, 11, 0]}</t>
        </is>
      </c>
    </row>
    <row r="8">
      <c r="A8" s="2" t="inlineStr">
        <is>
          <t>2405.20406</t>
        </is>
      </c>
      <c r="B8" s="2" t="inlineStr">
        <is>
          <t>Bijective solutions to the Pentagon Equation</t>
        </is>
      </c>
      <c r="C8" s="2" t="inlineStr">
        <is>
          <t>algebraic identity solutions</t>
        </is>
      </c>
      <c r="D8" s="3" t="inlineStr">
        <is>
          <t>https://arxiv.org/abs/2405.20406</t>
        </is>
      </c>
      <c r="E8" s="2" t="inlineStr">
        <is>
          <t>standard</t>
        </is>
      </c>
      <c r="F8" s="2" t="inlineStr">
        <is>
          <t>{"n": 6, "m": 4, "p": 3}</t>
        </is>
      </c>
      <c r="G8" s="4" t="inlineStr">
        <is>
          <t>yes</t>
        </is>
      </c>
      <c r="H8" s="5" t="n">
        <v>2590</v>
      </c>
      <c r="I8" s="2" t="inlineStr"/>
      <c r="J8" s="5" t="n">
        <v>25</v>
      </c>
      <c r="K8" s="6" t="inlineStr">
        <is>
          <t>Find an isomorphism between two finite set-theoretic solutions of the pentagon equation.
All arithmetic below is in the finite field F_3: add and multiply integers modulo 3. Vectors are columns. Indices are 0-based.
An alternating bilinear map B: F_3^6 x F_3^6 -&gt; F_3^4 is encoded by 4 matrices B[k], with
    B(u,v)[k] = u^T B[k] v  (mod 3).
The displayed matrices are alternating: their diagonal is zero and B[k][j][i] = -B[k][i][j] modulo 3.
Such a B defines a finite group on pairs (u,z) in F_3^6 x F_3^4; its multiplication is
    (u,z) * (v,w) = (u+v, z+w+inv2*B(u,v)),
where inv2=2 is the inverse of 2 modulo 3. This group defines the bijective pentagon map s_B(x,y)=(x*y,y). You do not need to list this exponentially large map.
The two tensors SOURCE and TARGET below define two such pentagon maps. Find two matrices:
  - P, exactly 6 by 6, invertible over F_3;
  - Q, exactly 4 by 4, invertible over F_3.
They must satisfy, for every k=0,...,3,
    P^T TARGET[k] P = sum over ell=0,...,3 of Q[k][ell] SOURCE[ell]  (mod 3).
Equivalently, F(u,z)=(P u,Q z) is an isomorphism of the two groups and of their pentagon maps. Other valid isomorphisms may exist; any one is accepted.
Matrix entries must be JSON integers in the inclusive range 0 through 2. Row order and column order matter. Repetitions are allowed as entries, but P and Q must each be invertible.
SOURCE has 4 component matrices, numbered 0 through 3:
SOURCE[0]
0 2 0 2 2 0
1 0 2 2 0 0
0 1 0 1 1 1
1 1 2 0 2 2
1 0 2 1 0 2
0 0 2 1 1 0
SOURCE[1]
0 0 2 1 0 0
0 0 0 1 1 1
1 0 0 0 0 2
2 2 0 0 2 1
0 2 0 1 0 0
0 2 1 2 0 0
SOURCE[2]
0 2 1 1 2 1
1 0 0 1 0 0
2 0 0 2 2 2
2 2 1 0 1 2
1 0 1 2 0 2
2 0 1 1 1 0
SOURCE[3]
0 1 2 1 1 0
2 0 0 2 1 0
1 0 0 0 0 0
2 1 0 0 2 0
2 2 0 1 0 2
0 0 0 0 1 0
TARGET has 4 component matrices, numbered 0 through 3:
TARGET[0]
0 0 0 1 2 1
0 0 0 1 2 0
0 0 0 0 1 0
2 2 0 0 2 2
1 1 2 1 0 0
2 0 0 1 0 0
TARGET[1]
0 0 0 0 2 2
0 0 2 0 2 1
0 1 0 0 1 2
0 0 0 0 1 2
1 1 2 2 0 0
1 2 1 1 0 0
TARGET[2]
0 1 2 1 0 2
2 0 0 0 0 1
1 0 0 2 2 2
2 0 1 0 0 1
0 0 1 0 0 2
1 2 1 2 1 0
TARGET[3]
0 0 1 0 1 2
0 0 0 2 1 0
2 0 0 2 1 2
0 1 1 0 1 1
2 2 2 2 0 0
1 0 1 2 0 0
Give your final answer inside &lt;answer&gt;&lt;/answer&gt; tags, as one JSON object with exactly the keys "P" and "Q", each containing a row-major array of rows.
Example of the exact syntax (the identity matrices illustrate syntax only and normally are not a solution):
&lt;answer&gt;{"P":[[1,0,0,0,0,0],[0,1,0,0,0,0],[0,0,1,0,0,0],[0,0,0,1,0,0],[0,0,0,0,1,0],[0,0,0,0,0,1]],"Q":[[1,0,0,0],[0,1,0,0],[0,0,1,0],[0,0,0,1]]}&lt;/answer&gt;
Output nothing else inside the tags.</t>
        </is>
      </c>
      <c r="L8" s="6" t="inlineStr">
        <is>
          <t>{"P": [[0, 2, 1, 1, 1, 0], [0, 1, 0, 0, 1, 0], [1, 1, 2, 1, 0, 2], [1, 2, 0, 1, 0, 2], [1, 2, 2, 1, 2, 0], [2, 0, 0, 2, 0, 1]], "Q": [[0, 0, 0, 1], [1, 1, 2, 1], [0, 1, 1, 0], [2, 1, 2, 2]]}</t>
        </is>
      </c>
    </row>
    <row r="9">
      <c r="A9" s="2" t="inlineStr">
        <is>
          <t>2002.10145</t>
        </is>
      </c>
      <c r="B9" s="2" t="inlineStr">
        <is>
          <t>Hardness of equations over finite solvable groups under the exponential   time hypothesis</t>
        </is>
      </c>
      <c r="C9" s="2" t="inlineStr">
        <is>
          <t>constraint satisfaction</t>
        </is>
      </c>
      <c r="D9" s="3" t="inlineStr">
        <is>
          <t>https://arxiv.org/abs/2002.10145</t>
        </is>
      </c>
      <c r="E9" s="2" t="inlineStr">
        <is>
          <t>easy</t>
        </is>
      </c>
      <c r="F9" s="2" t="inlineStr">
        <is>
          <t>{"n": 140, "avg_degree": 9.0, "attack_restarts": 32, "backtrack_floor": 10000}</t>
        </is>
      </c>
      <c r="G9" s="4" t="inlineStr">
        <is>
          <t>yes</t>
        </is>
      </c>
      <c r="H9" s="5" t="n">
        <v>5121</v>
      </c>
      <c r="I9" s="2" t="inlineStr"/>
      <c r="J9" s="5" t="n">
        <v>82</v>
      </c>
      <c r="K9" s="6" t="inlineStr">
        <is>
          <t>FIXED 4-COLOURING WITNESS PROBLEM
The graph has 140 vertices, numbered 0 through 139 inclusive.
Each line in the edge list is one undirected edge 'u v'.
There are no loops. Edge order and endpoint order have no meaning.
Assign exactly one integer colour in the inclusive range 1..4 to every vertex.
For every listed edge u v, the two endpoint colours must be different.
Colours may be reused on nonadjacent vertices; there is no balance requirement.
Your output order matters: entry i is the colour of vertex i (0-indexed).
The graph contains a 4-clique used only to remove global colour-name symmetry.
The following anchor colours are mandatory:
  vertex 0 -&gt; colour 1
  vertex 1 -&gt; colour 2
  vertex 2 -&gt; colour 3
  vertex 3 -&gt; colour 4
n = 140
m = 630
edges:
0 1
0 2
0 3
0 68
0 88
0 89
1 2
1 3
1 29
1 40
1 65
1 69
1 90
2 3
2 14
2 20
2 23
2 38
2 48
2 67
2 72
3 7
3 10
3 26
3 48
3 62
3 73
3 75
3 94
3 139
4 25
4 34
4 35
4 36
4 37
4 46
4 62
4 77
4 84
4 116
4 124
4 135
5 20
5 43
5 44
5 56
5 71
5 87
5 114
5 130
5 135
6 15
6 24
6 29
6 33
6 41
6 51
6 72
6 78
6 79
6 104
6 108
6 117
6 118
6 122
7 21
7 44
7 54
7 60
7 76
7 81
7 92
7 97
7 115
8 10
8 11
8 35
8 53
8 55
8 61
8 62
8 85
8 107
8 110
8 118
8 126
8 138
9 39
9 40
9 42
9 48
9 55
9 57
9 105
9 128
10 25
10 42
10 50
10 59
10 72
10 74
10 80
10 81
10 91
10 101
11 34
11 36
11 46
11 82
11 87
11 102
11 119
11 135
12 18
12 22
12 30
12 54
12 58
12 59
12 77
12 79
12 93
12 99
12 101
12 107
12 125
13 14
13 33
13 53
13 55
13 87
13 115
14 27
14 34
14 45
14 55
14 57
14 68
14 84
14 119
14 120
14 125
14 135
15 88
15 127
16 24
16 26
16 62
16 90
17 20
17 95
17 112
17 128
17 135
17 136
18 19
18 72
18 84
18 85
18 90
18 115
18 119
18 134
18 137
19 39
19 59
19 99
19 117
19 122
19 135
20 21
20 36
20 80
20 129
21 37
21 42
21 59
21 89
21 96
21 100
22 80
22 103
23 41
23 49
23 55
23 56
23 71
23 73
23 98
23 111
24 28
24 39
24 44
24 52
24 63
24 64
24 87
24 93
24 114
25 54
25 67
25 130
25 131
26 32
26 90
26 97
26 98
26 103
26 104
26 112
26 115
26 129
26 139
27 28
27 33
27 66
27 96
27 127
27 132
28 33
28 41
28 47
28 52
28 56
28 85
28 88
28 102
29 34
29 36
29 53
29 58
29 73
29 89
29 96
29 102
29 104
29 116
29 124
30 33
30 50
30 99
30 101
30 105
30 108
30 116
30 117
30 123
30 128
31 37
31 42
31 86
31 124
31 125
31 133
32 38
32 41
32 78
32 81
32 89
32 103
32 115
32 128
32 133
33 38
33 43
33 49
33 63
33 69
33 70
33 110
33 116
33 128
34 47
34 66
34 70
34 80
34 130
35 60
35 67
35 76
35 82
35 101
35 118
35 123
35 132
36 61
36 67
36 106
36 132
37 63
37 67
37 75
37 88
37 109
37 119
37 131
38 41
38 61
38 66
38 73
38 97
38 102
38 131
38 132
38 139
39 41
39 42
39 45
39 59
39 100
39 104
39 109
39 120
39 122
39 124
40 44
40 48
40 56
40 73
40 75
40 85
40 91
40 97
41 43
41 49
41 52
41 58
41 67
41 73
41 81
41 84
41 102
41 103
42 50
42 70
42 76
42 94
42 105
42 116
43 77
43 78
43 133
44 54
44 59
44 86
44 103
44 121
45 63
45 70
45 73
45 111
46 58
46 90
46 125
46 139
47 52
47 63
47 73
47 83
47 93
47 111
47 114
47 116
47 126
48 50
48 55
48 74
48 81
48 84
48 112
49 80
49 95
49 108
49 109
49 136
49 139
50 53
50 56
50 61
50 92
50 93
50 114
50 127
51 100
51 104
52 101
52 130
53 80
53 82
53 100
53 102
53 106
53 120
53 129
53 130
54 63
54 69
54 72
54 91
54 101
54 122
54 138
55 89
55 104
55 120
55 129
56 65
56 92
56 108
56 116
57 61
57 92
57 105
57 130
57 131
58 77
58 96
58 104
58 107
58 116
58 130
59 61
59 63
59 69
59 85
59 97
59 120
59 124
60 63
60 68
60 71
60 87
60 101
60 107
60 116
60 123
61 79
61 96
61 127
61 128
61 129
62 93
62 123
62 125
62 126
63 77
63 86
63 116
63 121
64 66
64 67
64 88
65 71
65 83
65 99
65 103
65 109
65 110
65 123
65 130
65 135
65 136
66 74
66 102
66 113
66 121
67 78
67 85
67 92
67 98
67 99
67 104
67 110
67 121
68 72
68 83
68 85
68 102
68 119
68 122
68 139
69 79
69 101
69 104
69 107
70 76
70 86
70 101
70 122
70 124
70 125
70 127
70 132
71 86
71 137
72 78
72 88
72 116
73 88
73 94
74 84
74 122
74 131
74 132
75 76
75 117
75 131
76 77
76 96
76 103
76 105
76 125
76 128
77 123
77 135
77 136
77 137
78 82
78 105
79 81
79 82
79 106
81 82
81 86
81 88
81 109
81 116
81 118
82 90
82 103
82 104
82 108
82 120
82 139
83 101
83 125
84 95
84 99
85 92
85 98
85 104
85 127
85 129
85 133
86 93
86 115
86 116
86 129
87 92
87 96
87 111
87 112
87 132
88 100
88 117
88 123
88 136
88 138
89 97
90 92
90 98
90 103
91 94
91 96
91 106
91 112
91 131
91 132
92 102
93 94
93 120
94 106
94 109
95 114
95 123
95 139
96 100
96 108
96 122
96 135
97 104
97 123
98 100
98 102
98 120
98 125
101 102
101 119
101 124
101 139
102 106
102 109
102 111
102 127
103 109
103 132
104 119
106 110
106 111
106 117
106 119
106 124
106 139
107 109
108 114
108 120
108 132
109 125
110 136
112 117
112 121
113 118
113 135
114 118
114 124
114 138
115 132
116 118
117 124
117 126
117 130
117 134
118 135
119 130
121 136
122 133
122 138
123 135
126 131
136 137
end edges
Give your final answer inside &lt;answer&gt;&lt;/answer&gt; tags as exactly 140 comma-separated integers, in vertex-number order.
Do not include brackets, vertex labels, explanations, or any other text inside the tags.
For format only, a hypothetical 4-vertex answer would be:
&lt;answer&gt;1, 2, 3, 4&lt;/answer&gt;
Output nothing else inside the tags.</t>
        </is>
      </c>
      <c r="L9" s="6" t="inlineStr">
        <is>
          <t>[1, 2, 3, 4, 4, 3, 2, 3, 4, 4, 2, 3, 4, 4, 2, 1, 1, 3, 3, 4, 1, 4, 2, 4, 3, 1, 2, 1, 2, 4, 1, 4, 4, 3, 1, 1, 2, 3, 2, 2, 3, 3, 1, 4, 4, 4, 2, 3, 2, 2, 4, 4, 4, 3, 2, 1, 1, 3, 1, 3, 4, 1, 3, 1, 2, 3, 4, 4, 3, 1, 2, 2, 1, 1, 3, 1, 4, 3, 3, 3, 4, 1, 2, 2, 1, 1, 3, 1, 4, 3, 4, 1, 2, 2, 3, 4, 2, 4, 3, 2, 1, 3, 1, 1, 3, 2, 4, 3, 3, 4, 2, 2, 4, 2, 2, 1, 2, 3, 3, 1, 4, 3, 1, 2, 1, 1, 2, 3, 2, 4, 2, 4, 4, 2, 2, 1, 1, 4, 3, 1]</t>
        </is>
      </c>
    </row>
    <row r="10">
      <c r="A10" s="2" t="inlineStr">
        <is>
          <t>2404.18447</t>
        </is>
      </c>
      <c r="B10" s="2" t="inlineStr">
        <is>
          <t>The PRODSAT phase of random quantum satisfiability</t>
        </is>
      </c>
      <c r="C10" s="2" t="inlineStr">
        <is>
          <t>constraint satisfaction</t>
        </is>
      </c>
      <c r="D10" s="3" t="inlineStr">
        <is>
          <t>https://arxiv.org/abs/2404.18447</t>
        </is>
      </c>
      <c r="E10" s="2" t="inlineStr">
        <is>
          <t>small</t>
        </is>
      </c>
      <c r="F10" s="2" t="inlineStr">
        <is>
          <t>{"n": 12, "p": 11}</t>
        </is>
      </c>
      <c r="G10" s="4" t="inlineStr">
        <is>
          <t>yes</t>
        </is>
      </c>
      <c r="H10" s="5" t="n">
        <v>1928</v>
      </c>
      <c r="I10" s="2" t="inlineStr"/>
      <c r="J10" s="5" t="n">
        <v>13</v>
      </c>
      <c r="K10" s="6" t="inlineStr">
        <is>
          <t>Find a zero-energy product-state witness for this finite-field 3-QSAT core.
All arithmetic is in the prime field F_11: add and multiply modulo 11. Indices are 0-based.
There are 12 variables q[0],...,q[11]. Each variable is one projective point of P^1(F_11), encoded by exactly one integer in the inclusive range 0 through 11:
  q in 0,...,10 represents the nonzero two-vector v(q)=(1,q);
  q=11 represents the point at infinity v(q)=(0,1).
Vectors differing by a nonzero scalar represent the same point, which is why this encoding is canonical.
Each constraint lists three DISTINCT variable indices (a,b,c), in that order, and eight coefficients C000,C001,C010,C011,C100,C101,C110,C111 in that exact binary order. It is satisfied when
  sum over i,j,k in {0,1} of Cijk * v(q[a])[i] * v(q[b])[j] * v(q[c])[k] = 0 (mod 11).
All 12 constraints must be satisfied simultaneously. The factor graph is connected; every variable occurs in exactly three constraints and every constraint contains exactly three variables. Repeated q values are allowed, and the order of the 12 answer entries matters. Any satisfying witness is accepted.
Constraint data, one constraint per line:
0: vars 11 1 8 ; coeff 10 8 4 10 4 7 3 4
1: vars 7 6 10 ; coeff 4 7 1 0 2 7 5 7
2: vars 7 8 1 ; coeff 3 5 9 2 5 5 5 6
3: vars 5 4 0 ; coeff 5 8 7 1 5 3 7 1
4: vars 0 3 6 ; coeff 7 3 2 1 0 4 0 9
5: vars 11 4 0 ; coeff 3 2 5 9 5 3 2 8
6: vars 3 7 9 ; coeff 7 4 7 0 1 6 8 5
7: vars 10 3 5 ; coeff 3 9 5 6 0 4 7 9
8: vars 5 11 2 ; coeff 4 8 0 1 6 2 0 5
9: vars 9 1 10 ; coeff 5 0 6 0 9 8 4 5
10: vars 9 8 2 ; coeff 1 6 8 7 8 4 3 10
11: vars 2 6 4 ; coeff 6 1 6 5 5 8 5 2
Give your final answer inside &lt;answer&gt;&lt;/answer&gt; tags, as one JSON array of exactly 12 integers, in variable-index order.
Example of the exact syntax (illustrates syntax only and normally is not a solution):
&lt;answer&gt;[0,0,0,0,0,0,0,0,0,0,0,0]&lt;/answer&gt;
Output nothing else inside the tags.</t>
        </is>
      </c>
      <c r="L10" s="6" t="inlineStr">
        <is>
          <t>[10, 1, 0, 11, 4, 3, 3, 2, 11, 1, 10, 11]</t>
        </is>
      </c>
    </row>
    <row r="11">
      <c r="A11" s="2" t="inlineStr">
        <is>
          <t>2508.11570</t>
        </is>
      </c>
      <c r="B11" s="2" t="inlineStr">
        <is>
          <t>NP-Completeness Proofs of Puzzles using the T-Metacell Framework</t>
        </is>
      </c>
      <c r="C11" s="2" t="inlineStr">
        <is>
          <t>constraint satisfaction</t>
        </is>
      </c>
      <c r="D11" s="3" t="inlineStr">
        <is>
          <t>https://arxiv.org/abs/2508.11570</t>
        </is>
      </c>
      <c r="E11" s="2" t="inlineStr">
        <is>
          <t>standard</t>
        </is>
      </c>
      <c r="F11" s="2" t="inlineStr">
        <is>
          <t>{"n": 11}</t>
        </is>
      </c>
      <c r="G11" s="4" t="inlineStr">
        <is>
          <t>yes</t>
        </is>
      </c>
      <c r="H11" s="5" t="n">
        <v>2862</v>
      </c>
      <c r="I11" s="2" t="inlineStr"/>
      <c r="J11" s="5" t="n">
        <v>544</v>
      </c>
      <c r="K11" s="6" t="inlineStr">
        <is>
          <t>Grand Tour witness problem
The graph is a 22-row by 22-column rectangular grid of 484 vertices.
Rows are 0 through 21, columns are 0 through 21, and the vertex
at (row r, column c) has ID r*22+c.  Thus IDs are 0 through 483.
Two vertices have an available undirected edge exactly when their grid cells share
a side: their coordinates differ by 1 in exactly one coordinate and agree in the
other.  Diagonal and wraparound edges do not exist.
Find one simple closed loop that visits every vertex exactly once and uses every
forced edge below.  A forced edge a-b is undirected.  The forced edges are:
0-22 1-2 3-25 4-26 5-6 7-29 8-30 9-10 11-33 12-34 13-14 15-37 16-38 17-18 19-20 21-43 23-24 27-28 31-32 35-36 39-40 41-42 44-66 45-46 47-48 49-71 50-72 51-52 53-54 55-56 57-58 59-81 60-82 61-83 62-84 63-85 64-86 65-87 67-68 69-70 73-74 75-76 77-78 79-80 88-110 89-111 90-112 91-92 93-94 95-96 97-119 98-120 99-100 101-123 102-124 103-125 104-126 105-106 107-108 109-131 113-114 115-116 117-118 121-122 127-128 129-130 132-154 133-155 134-156 135-157 136-158 137-159 138-160 139-140 141-163 142-164 143-165 144-166 145-146 147-148 149-171 150-172 151-152 153-175 161-162 167-168 169-170 173-174 176-198 177-178 179-180 181-182 183-205 184-206 185-186 187-209 188-210 189-211 190-212 191-213 192-214 193-194 195-217 196-218 197-219 199-200 201-202 203-204 207-208 215-216 220-242 221-243 222-244 223-224 225-247 226-248 227-228 229-251 230-252 231-232 233-255 234-256 235-257 236-258 237-238 239-240 241-263 245-246 249-250 253-254 259-260 261-262 264-286 265-287 266-288 267-268 269-291 270-292 271-272 273-274 275-297 276-298 277-299 278-300 279-280 281-303 282-304 283-305 284-306 285-307 289-290 293-294 295-296 301-302 308-330 309-331 310-332 311-333 312-334 313-335 314-336 315-337 316-338 317-318 319-341 320-342 321-322 323-324 325-326 327-349 328-350 329-351 339-340 343-344 345-346 347-348 352-374 353-375 354-376 355-356 357-358 359-381 360-382 361-383 362-384 363-364 365-387 366-388 367-368 369-391 370-392 371-393 372-394 373-395 377-378 379-380 385-386 389-390 396-418 397-398 399-421 400-422 401-423 402-424 403-404 405-406 407-429 408-430 409-431 410-432 411-433 412-434 413-414 415-416 417-439 419-420 425-426 427-428 435-436 437-438 440-462 441-463 442-464 443-444 445-446 447-469 448-470 449-471 450-472 451-452 453-475 454-476 455-456 457-458 459-481 460-482 461-483 465-466 467-468 473-474 477-478 479-480
Represent the loop by exactly 484 comma-separated vertex IDs v0,...,v483
in cyclic order.  Every ID must occur exactly once.  Consecutive IDs must share an
available edge, including v483 back to v0.  The starting vertex and direction
are arbitrary; do not repeat v0 at the end.
Give your final answer inside &lt;answer&gt;&lt;/answer&gt; tags, as comma-separated integers.
Example: &lt;answer&gt;0, 1, 5, 4&lt;/answer&gt;
Output nothing else inside the tags.</t>
        </is>
      </c>
      <c r="L11" s="6" t="inlineStr">
        <is>
          <t>[0, 1, 2, 3, 25, 24, 23, 45, 46, 47, 48, 26, 4, 5, 6, 7, 29, 28, 27, 49, 71, 70, 69, 91, 92, 93, 94, 95, 96, 97, 119, 118, 117, 139, 140, 141, 163, 185, 186, 164, 142, 120, 98, 76, 75, 74, 73, 72, 50, 51, 52, 53, 54, 32, 31, 30, 8, 9, 10, 11, 33, 55, 56, 57, 58, 36, 35, 34, 12, 13, 14, 15, 37, 59, 81, 103, 125, 147, 148, 149, 171, 170, 169, 168, 167, 189, 211, 233, 255, 277, 299, 321, 322, 323, 324, 302, 301, 300, 278, 256, 234, 212, 190, 191, 213, 235, 257, 279, 280, 281, 303, 325, 326, 304, 282, 260, 259, 258, 236, 214, 192, 193, 194, 172, 150, 151, 152, 130, 129, 128, 127, 126, 104, 82, 60, 38, 16, 17, 18, 19, 20, 21, 43, 65, 87, 86, 64, 42, 41, 40, 39, 61, 83, 105, 106, 84, 62, 63, 85, 107, 108, 109, 131, 153, 175, 174, 173, 195, 217, 216, 215, 237, 238, 239, 240, 218, 196, 197, 219, 241, 263, 285, 307, 329, 351, 373, 395, 394, 372, 350, 328, 306, 284, 262, 261, 283, 305, 327, 349, 371, 393, 415, 416, 417, 439, 461, 483, 482, 460, 438, 437, 436, 435, 434, 412, 413, 414, 392, 370, 348, 347, 369, 391, 390, 389, 411, 433, 455, 456, 457, 458, 459, 481, 480, 479, 478, 477, 476, 454, 432, 410, 388, 366, 367, 368, 346, 345, 344, 343, 342, 320, 298, 276, 254, 253, 275, 297, 319, 341, 363, 364, 365, 387, 409, 431, 430, 408, 386, 385, 384, 362, 340, 339, 361, 383, 405, 406, 407, 429, 451, 452, 453, 475, 474, 473, 472, 450, 428, 427, 449, 471, 470, 448, 426, 425, 424, 402, 380, 379, 401, 423, 445, 446, 447, 469, 468, 467, 466, 465, 464, 442, 443, 444, 422, 400, 378, 377, 399, 421, 420, 419, 441, 463, 462, 440, 418, 396, 374, 352, 353, 375, 397, 398, 376, 354, 332, 310, 288, 266, 267, 268, 246, 245, 244, 222, 200, 199, 221, 243, 265, 287, 309, 331, 330, 308, 286, 264, 242, 220, 198, 176, 154, 132, 133, 155, 177, 178, 179, 180, 158, 136, 137, 159, 181, 182, 183, 205, 204, 203, 202, 201, 223, 224, 225, 247, 269, 291, 313, 335, 334, 312, 290, 289, 311, 333, 355, 356, 357, 358, 336, 314, 315, 337, 359, 381, 403, 404, 382, 360, 338, 316, 317, 318, 296, 295, 294, 293, 292, 270, 248, 226, 227, 228, 229, 251, 250, 249, 271, 272, 273, 274, 252, 230, 231, 232, 210, 188, 166, 144, 145, 146, 124, 102, 80, 79, 78, 77, 99, 100, 101, 123, 122, 121, 143, 165, 187, 209, 208, 207, 206, 184, 162, 161, 160, 138, 116, 115, 114, 113, 135, 157, 156, 134, 112, 90, 68, 67, 89, 111, 110, 88, 66, 44, 22]</t>
        </is>
      </c>
    </row>
    <row r="12">
      <c r="A12" s="2" t="inlineStr">
        <is>
          <t>2306.12713</t>
        </is>
      </c>
      <c r="B12" s="2" t="inlineStr">
        <is>
          <t>A constructive solution to the Oberwolfach Problem with a large cycle</t>
        </is>
      </c>
      <c r="C12" s="2" t="inlineStr">
        <is>
          <t>designs and codes</t>
        </is>
      </c>
      <c r="D12" s="3" t="inlineStr">
        <is>
          <t>https://arxiv.org/abs/2306.12713</t>
        </is>
      </c>
      <c r="E12" s="2" t="inlineStr">
        <is>
          <t>easy</t>
        </is>
      </c>
      <c r="F12" s="2" t="inlineStr">
        <is>
          <t>{"n": 64, "min_cycles": 3, "min_distinct_cycles": 3, "path_min_ratio": 0.1, "path_max_ratio": 0.65, "build_attempts": 1400}</t>
        </is>
      </c>
      <c r="G12" s="4" t="inlineStr">
        <is>
          <t>yes</t>
        </is>
      </c>
      <c r="H12" s="5" t="n">
        <v>1418</v>
      </c>
      <c r="I12" s="2" t="inlineStr"/>
      <c r="J12" s="5" t="n">
        <v>87</v>
      </c>
      <c r="K12" s="6" t="inlineStr">
        <is>
          <t xml:space="preserve">Graceful labeling problem (one path plus disjoint cycles)
The graph has one path with 12 edges (therefore 13 vertices) and
3 vertex-disjoint cycles.  In the input order, the cycle lengths are:
[13, 34, 5]
These components are mutually vertex-disjoint.  A cycle of length ell has ell
vertices and ell edges.  Thus the whole graph has 65 vertices and 64 edges.
Assign every integer label from 0 through 64, inclusive, to exactly one vertex.
For an edge whose endpoint labels are x and y, its edge difference is |x-y|.
Your labeling is valid exactly when the 64 edge differences are all distinct;
equivalently, they must be precisely 1 through 64, inclusive.
Represent the path by listing its 13 labels in traversal order.  Represent
each cycle by listing its labels in cyclic order; the last entry is adjacent to
the first.  Reversing the path, rotating or reversing a cycle, and reordering
cycles are allowed.  The multiset of submitted cycle lengths must equal the
input multiset.  Labels are 0-indexed integers, repetitions are forbidden, and
no edges exist between different listed components.
Give your final answer inside &lt;answer&gt;&lt;/answer&gt; tags, as one JSON object with
exactly the keys "path" and "cycles", each mapped to arrays of integers.
Format-only example: &lt;answer&gt;{"path":[0,1],"cycles":[[2,3,4]]}&lt;/answer&gt;
The example numbers are not an answer to this instance.  Output nothing else
inside the tags.
</t>
        </is>
      </c>
      <c r="L12" s="6" t="inlineStr">
        <is>
          <t>{"path": [31, 20, 49, 9, 62, 2, 60, 3, 57, 12, 46, 23, 37], "cycles": [[19, 36, 28, 29, 44], [6, 56, 13, 43, 24, 34, 30, 25, 41, 21, 48, 11, 58], [0, 61, 5, 54, 10, 51, 15, 39, 32, 35, 22, 53, 7, 55, 16, 42, 33, 27, 45, 17, 52, 14, 47, 26, 38, 40, 18, 50, 8, 59, 4, 63, 1, 64]]}</t>
        </is>
      </c>
    </row>
    <row r="13">
      <c r="A13" s="2" t="inlineStr">
        <is>
          <t>2411.07981</t>
        </is>
      </c>
      <c r="B13" s="2" t="inlineStr">
        <is>
          <t>Codegree conditions for (fractional) Steiner triple systems</t>
        </is>
      </c>
      <c r="C13" s="2" t="inlineStr">
        <is>
          <t>designs and codes</t>
        </is>
      </c>
      <c r="D13" s="3" t="inlineStr">
        <is>
          <t>https://arxiv.org/abs/2411.07981</t>
        </is>
      </c>
      <c r="E13" s="2" t="inlineStr">
        <is>
          <t>medium</t>
        </is>
      </c>
      <c r="F13" s="2" t="inlineStr">
        <is>
          <t>{"n": 21, "layers": 5}</t>
        </is>
      </c>
      <c r="G13" s="4" t="inlineStr">
        <is>
          <t>yes</t>
        </is>
      </c>
      <c r="H13" s="5" t="n">
        <v>3225</v>
      </c>
      <c r="I13" s="2" t="inlineStr"/>
      <c r="J13" s="5" t="n">
        <v>72</v>
      </c>
      <c r="K13" s="6" t="inlineStr">
        <is>
          <t>STEINER TRIPLE SYSTEM INSIDE AN ALLOWED 3-UNIFORM HYPERGRAPH
The vertices are the integers 0 through 20, inclusive.
An unordered pair means two distinct vertices; (a,b) and (b,a) are
the same pair.  A triple is an unordered set of three distinct vertices.
Choose exactly 70 distinct triples from the allowed list below so
that every unordered pair of distinct vertices occurs in exactly one
chosen triple.  Order within a triple and order among triples do not
matter.  Repeated vertices and repeated triples are forbidden.
ALLOWED_TRIPLES 317
2 17 20
3 8 16
6 7 14
0 3 14
5 7 16
1 3 14
8 9 10
12 13 14
4 12 18
3 15 17
10 13 15
4 6 14
3 14 17
1 5 18
9 12 17
17 18 20
8 11 14
5 14 19
5 14 18
11 12 19
4 9 13
3 19 20
9 11 13
9 10 13
2 17 18
4 13 20
4 11 19
5 15 17
0 9 17
8 12 20
0 6 19
0 1 15
3 5 6
7 15 16
0 4 5
14 17 19
1 6 13
13 15 19
1 8 10
6 10 15
14 19 20
4 10 17
4 5 8
5 10 15
8 16 17
2 6 12
2 6 20
7 12 19
4 14 19
1 10 17
8 13 19
9 13 19
2 14 15
7 11 12
0 12 13
1 2 4
0 10 17
8 12 16
1 2 12
2 6 16
3 5 11
2 13 15
2 6 15
5 16 19
9 15 18
10 13 20
2 7 9
4 7 15
7 14 20
1 3 19
6 9 17
16 18 20
4 11 16
4 6 13
3 16 19
0 5 14
8 9 15
5 10 20
1 6 19
2 15 19
4 10 20
0 7 10
8 15 18
7 16 19
6 8 13
4 13 15
0 16 18
3 4 20
11 15 19
6 11 12
10 12 14
0 7 9
5 9 16
13 15 18
2 16 18
8 11 16
1 5 11
10 11 18
3 5 10
5 8 17
4 8 18
3 12 15
2 11 20
5 9 19
3 12 16
4 6 9
2 16 20
0 4 8
4 8 19
6 9 18
1 10 18
8 12 15
3 11 19
4 5 6
11 13 17
6 16 17
2 12 18
0 2 3
2 3 18
3 10 18
6 18 20
0 10 12
1 3 4
1 7 12
6 11 18
1 8 15
7 10 16
1 3 9
13 16 20
6 9 14
5 9 11
2 7 17
10 14 16
1 8 14
9 14 17
2 4 7
7 10 17
0 14 20
0 2 13
1 11 18
0 17 19
2 3 4
1 6 20
5 6 11
3 9 16
1 15 17
0 13 16
1 7 20
2 5 13
6 17 18
0 5 20
4 16 17
3 13 17
2 9 14
14 15 18
0 9 12
10 11 15
5 14 15
7 12 20
2 5 9
11 17 20
6 12 14
7 8 17
1 6 15
2 5 8
1 12 13
6 15 18
5 13 19
4 5 11
3 4 7
4 6 16
11 12 16
6 7 19
1 7 11
10 16 19
1 9 16
5 7 20
7 9 10
5 18 19
7 13 14
6 12 20
14 15 19
11 18 19
0 10 13
2 10 12
12 17 20
0 1 8
4 10 19
7 14 18
5 7 18
6 11 17
8 11 20
3 13 20
5 13 16
1 12 19
2 3 16
1 16 17
2 11 14
3 15 20
16 19 20
5 15 16
0 9 16
7 11 13
3 13 18
9 18 19
4 13 16
13 19 20
1 10 16
8 9 18
0 7 18
5 12 15
3 7 12
6 8 19
3 6 10
2 8 13
15 16 17
14 15 16
2 9 15
9 10 14
0 12 18
6 10 11
4 14 16
0 6 10
10 12 17
7 10 19
6 14 16
3 8 10
5 12 17
7 8 19
1 2 5
3 11 15
11 16 18
6 9 12
2 3 10
11 14 17
9 15 20
2 7 11
5 13 14
1 4 20
3 12 14
3 6 13
0 11 17
1 18 19
10 13 18
2 4 8
0 15 20
2 17 19
6 13 16
0 15 16
12 14 20
4 12 17
8 13 18
1 13 17
3 4 9
0 2 19
4 18 20
1 13 14
1 5 12
3 6 7
8 12 13
0 2 8
0 1 7
2 10 14
0 5 6
5 6 7
7 8 16
4 9 17
0 3 20
0 1 11
4 10 11
4 12 15
12 16 18
5 9 12
0 11 15
5 13 18
0 4 14
0 3 5
3 17 19
10 19 20
3 5 8
7 8 9
2 10 19
1 7 13
14 18 20
0 8 14
4 9 12
0 6 8
7 15 20
3 9 14
2 5 10
4 12 19
3 6 8
1 2 11
6 17 20
0 1 16
8 15 20
0 9 20
5 8 20
4 5 17
2 13 17
3 8 11
5 7 17
1 5 20
3 7 18
0 4 18
1 4 14
8 10 20
9 11 20
1 9 20
8 12 19
9 15 19
8 17 18
2 6 8
14 17 18
5 10 12
0 3 11
0 6 7
END_ALLOWED_TRIPLES
Give your final answer inside &lt;answer&gt;&lt;/answer&gt; tags, as one JSON array
containing exactly 70 three-integer arrays.  JSON whitespace and
the order conventions above are ignored.
Example: &lt;answer&gt;[[0,1,2],[0,3,4]]&lt;/answer&gt;
Output nothing else inside the tags.</t>
        </is>
      </c>
      <c r="L13" s="6" t="inlineStr">
        <is>
          <t>[[1, 5, 12], [10, 13, 15], [4, 11, 19], [2, 5, 9], [6, 9, 17], [10, 11, 18], [2, 16, 20], [4, 9, 13], [3, 6, 7], [7, 11, 13], [2, 14, 15], [10, 14, 16], [5, 13, 18], [3, 9, 14], [9, 15, 19], [7, 12, 19], [4, 6, 14], [7, 8, 16], [4, 12, 18], [17, 18, 20], [3, 13, 17], [8, 9, 18], [2, 3, 18], [1, 9, 16], [2, 6, 12], [2, 4, 8], [0, 16, 18], [8, 15, 20], [5, 15, 16], [2, 7, 17], [1, 15, 17], [1, 13, 14], [0, 1, 7], [0, 3, 20], [5, 14, 19], [5, 8, 17], [1, 8, 10], [4, 7, 15], [6, 13, 16], [0, 2, 13], [12, 14, 20], [1, 18, 19], [7, 9, 10], [10, 12, 17], [8, 12, 13], [0, 4, 5], [9, 11, 20], [3, 16, 19], [0, 17, 19], [13, 19, 20], [3, 12, 15], [6, 8, 19], [1, 2, 11], [4, 10, 20], [2, 10, 19], [5, 6, 11], [7, 14, 18], [11, 14, 17], [11, 12, 16], [0, 6, 10], [0, 8, 14], [0, 9, 12], [6, 15, 18], [3, 8, 11], [4, 16, 17], [3, 5, 10], [1, 3, 4], [5, 7, 20], [1, 6, 20], [0, 11, 15]]</t>
        </is>
      </c>
    </row>
    <row r="14">
      <c r="A14" s="2" t="inlineStr">
        <is>
          <t>2412.14615</t>
        </is>
      </c>
      <c r="B14" s="2" t="inlineStr">
        <is>
          <t>Additive codes attaining the Griesmer bound</t>
        </is>
      </c>
      <c r="C14" s="2" t="inlineStr">
        <is>
          <t>designs and codes</t>
        </is>
      </c>
      <c r="D14" s="3" t="inlineStr">
        <is>
          <t>https://arxiv.org/abs/2412.14615</t>
        </is>
      </c>
      <c r="E14" s="2" t="inlineStr">
        <is>
          <t>medium</t>
        </is>
      </c>
      <c r="F14" s="2" t="inlineStr">
        <is>
          <t>{"n": 96, "bits": 12, "min_degree": 3, "guard_restarts": 16, "guard_nodes": 25000}</t>
        </is>
      </c>
      <c r="G14" s="4" t="inlineStr">
        <is>
          <t>yes</t>
        </is>
      </c>
      <c r="H14" s="5" t="n">
        <v>6319</v>
      </c>
      <c r="I14" s="2" t="inlineStr"/>
      <c r="J14" s="5" t="n">
        <v>361</v>
      </c>
      <c r="K14" s="6" t="inlineStr">
        <is>
          <t>BINARY PROJECTIVE-LINE PARTITION WITNESS PROBLEM
Work with 12-bit vectors over GF(2). Addition in GF(2) is
coordinate-wise XOR. In the binary projective space, every nonzero
vector below represents one point (there is no nontrivial scalar
rescaling to identify). A projective line is exactly a set of three
distinct points {a,b,c} whose vectors satisfy a XOR b XOR c = 0;
equivalently c = a XOR b.
The instance contains 288 distinct nonzero points, labelled
1 through 288. Partition all of them into exactly 96
projective lines. Every label must occur exactly once. A block is an
unordered triple, the blocks are unordered, and repeats are forbidden.
All bounds are inclusive and labels are 1-indexed.
POINTS (label: fixed-width vector)
001: 101000111100
002: 001001000001
003: 101111001001
004: 111110001010
005: 101111011010
006: 000110100011
007: 101101111101
008: 010000000110
009: 010010110111
010: 010011001101
011: 101100000011
012: 000101110101
013: 111101000011
014: 110110010000
015: 101111110101
016: 110100100111
017: 011101101001
018: 000100100101
019: 001101101001
020: 000100000001
021: 100010111010
022: 110000111000
023: 110100011010
024: 100010001100
025: 011000001111
026: 000010000100
027: 010100010010
028: 111011111101
029: 110000100101
030: 101001011111
031: 010010011100
032: 111000000100
033: 100000001000
034: 001010001000
035: 110001001101
036: 011000101001
037: 101110101101
038: 001101110010
039: 001111110011
040: 110111011110
041: 111111110110
042: 011000000011
043: 111001011110
044: 100001111101
045: 010101110010
046: 111101001001
047: 101100101100
048: 100010011000
049: 110001110101
050: 010000110101
051: 011101001100
052: 111010001100
053: 010111001011
054: 011100001001
055: 100000011111
056: 010001000110
057: 100101011011
058: 111100010111
059: 110110000000
060: 000010110010
061: 100010010110
062: 011101001001
063: 100110101001
064: 110001101011
065: 010110000001
066: 001001111101
067: 100011011011
068: 111111110001
069: 011101000011
070: 011101100110
071: 101110001110
072: 100010001111
073: 111001101011
074: 000110001101
075: 101011100011
076: 001000111100
077: 010011101000
078: 000011000001
079: 100011010110
080: 010001000101
081: 000100010000
082: 000100001110
083: 110111001010
084: 011101010001
085: 110001100110
086: 100100010100
087: 110111000110
088: 011101110101
089: 101110111010
090: 001010010000
091: 100110001011
092: 011111100110
093: 101111110100
094: 001110000111
095: 110000111110
096: 101111101100
097: 101101111010
098: 111110010101
099: 110001001100
100: 000101100101
101: 110011101010
102: 010010110001
103: 000111111011
104: 010001111101
105: 111000101011
106: 010101111011
107: 101110101011
108: 010001100111
109: 000101000011
110: 110100001001
111: 001110000100
112: 010001010010
113: 111000001110
114: 001110110001
115: 001110010011
116: 011011011011
117: 011001101110
118: 010000110010
119: 000001101101
120: 101100111011
121: 110011110111
122: 101110111001
123: 001110100110
124: 001101100111
125: 100101010111
126: 111110000000
127: 010001110100
128: 001110000011
129: 010001001001
130: 011000011100
131: 101011100100
132: 101011110000
133: 111111001110
134: 110011100010
135: 101111011110
136: 010101011001
137: 101100111001
138: 000001111011
139: 001100010100
140: 001101011011
141: 000000001110
142: 110001011000
143: 010001110011
144: 011101001101
145: 010000111100
146: 000100011001
147: 011011111101
148: 110111101000
149: 011001101100
150: 111011000010
151: 110001100111
152: 100010011011
153: 001111101011
154: 101010010101
155: 100110001001
156: 001101100001
157: 001110101111
158: 111101111101
159: 111111010110
160: 110101111101
161: 101101101110
162: 011001000010
163: 011111111101
164: 111000101000
165: 110000000100
166: 000101111100
167: 000110101111
168: 101000001111
169: 011101011010
170: 100011111011
171: 001010111101
172: 000000011011
173: 011111001101
174: 011011000100
175: 000110000000
176: 111001000111
177: 101101100110
178: 010111001010
179: 010011000000
180: 110011110100
181: 100101101110
182: 001001001010
183: 111111000001
184: 101000101100
185: 110110010101
186: 010010100010
187: 101110000100
188: 100000101000
189: 110111101001
190: 011100110000
191: 000100111101
192: 100000010001
193: 001110111010
194: 011011000010
195: 110010101101
196: 000111000010
197: 110010001101
198: 100010111001
199: 000100110001
200: 100101110011
201: 101000101001
202: 101001001010
203: 111010100010
204: 101101110101
205: 110101101101
206: 111001100100
207: 111011001111
208: 010100001001
209: 000100000101
210: 100111100001
211: 010000110111
212: 010110111111
213: 010111111000
214: 101011010011
215: 010110110000
216: 101001101101
217: 110001011111
218: 110011100101
219: 011110001011
220: 110111001000
221: 101000001011
222: 100000010110
223: 001110101011
224: 011000010011
225: 000100011101
226: 000101010000
227: 110000011000
228: 100000000000
229: 100001011010
230: 111110010010
231: 000001011101
232: 100011111100
233: 010100001101
234: 111000000110
235: 000010000011
236: 011000010101
237: 010111101101
238: 011001100100
239: 101000110001
240: 011011000001
241: 000011100110
242: 111110001101
243: 101010111010
244: 100010010101
245: 001100101111
246: 100100111101
247: 100010100000
248: 100001111000
249: 111101010001
250: 011001001001
251: 110101000110
252: 110101011001
253: 010101100011
254: 011011110101
255: 000110100100
256: 011010110111
257: 001110000000
258: 100011101010
259: 110001111110
260: 010110000000
261: 000001100111
262: 101001100110
263: 000000111001
264: 011101111110
265: 101000111110
266: 100001000000
267: 101011010100
268: 000000110000
269: 001011010011
270: 111100010101
271: 011101011000
272: 000001011100
273: 010000001101
274: 001110111001
275: 011100101100
276: 001000000000
277: 100111100110
278: 001111101100
279: 101001111101
280: 000101011111
281: 001001110011
282: 001010011110
283: 111111111001
284: 000100001111
285: 011001010101
286: 000111001001
287: 001010001110
288: 111111000100
Output exactly 96 triples. Separate labels within a triple by
commas and separate triples by semicolons. Do not use brackets. Order
inside a triple and the order of triples do not matter.
Give your final answer inside &lt;answer&gt;&lt;/answer&gt; tags, as
semicolon-separated comma-separated triples of decimal point labels.
Example: &lt;answer&gt;1, 2, 3; 4, 5, 6&lt;/answer&gt;
Output nothing else inside the tags.</t>
        </is>
      </c>
      <c r="L14" s="6" t="inlineStr">
        <is>
          <t>[[1, 15, 286], [2, 112, 224], [3, 216, 255], [4, 67, 84], [5, 82, 267], [6, 179, 253], [7, 106, 234], [8, 248, 259], [9, 94, 190], [10, 13, 71], [11, 191, 265], [12, 205, 227], [14, 65, 192], [16, 52, 223], [17, 166, 236], [18, 30, 97], [19, 22, 249], [20, 45, 143], [21, 147, 176], [23, 127, 181], [24, 171, 239], [25, 51, 109], [26, 85, 134], [27, 182, 271], [28, 132, 273], [29, 95, 172], [31, 48, 165], [32, 187, 260], [33, 35, 80], [34, 104, 254], [36, 209, 275], [37, 121, 169], [38, 66, 284], [39, 55, 96], [40, 193, 206], [41, 49, 128], [42, 58, 86], [43, 54, 125], [44, 164, 285], [46, 91, 194], [47, 148, 174], [50, 93, 183], [53, 157, 238], [56, 120, 158], [57, 116, 126], [59, 163, 279], [60, 101, 142], [61, 119, 170], [62, 168, 251], [63, 145, 185], [64, 197, 241], [68, 72, 264], [69, 141, 144], [70, 213, 282], [73, 218, 287], [74, 118, 212], [75, 214, 268], [76, 115, 167], [77, 202, 203], [78, 110, 220], [79, 102, 151], [81, 129, 136], [83, 178, 228], [87, 269, 270], [88, 184, 252], [89, 211, 242], [90, 152, 221], [92, 133, 188], [98, 130, 155], [99, 160, 199], [100, 200, 222], [103, 138, 175], [105, 173, 277], [107, 153, 266], [108, 219, 278], [111, 161, 258], [113, 198, 256], [114, 196, 281], [117, 124, 208], [122, 135, 261], [123, 217, 283], [131, 195, 250], [137, 262, 280], [139, 201, 246], [140, 210, 243], [146, 159, 207], [149, 156, 233], [150, 226, 230], [154, 244, 276], [162, 235, 240], [177, 186, 288], [180, 189, 225], [204, 229, 245], [215, 231, 237], [232, 247, 272], [257, 263, 274]]</t>
        </is>
      </c>
    </row>
    <row r="15">
      <c r="A15" s="2" t="inlineStr">
        <is>
          <t>2511.01003</t>
        </is>
      </c>
      <c r="B15" s="2" t="inlineStr">
        <is>
          <t>On the Classification of Dillon's APN Hexanomials</t>
        </is>
      </c>
      <c r="C15" s="2" t="inlineStr">
        <is>
          <t>finite field constructions</t>
        </is>
      </c>
      <c r="D15" s="3" t="inlineStr">
        <is>
          <t>https://arxiv.org/abs/2511.01003</t>
        </is>
      </c>
      <c r="E15" s="2" t="inlineStr">
        <is>
          <t>medium</t>
        </is>
      </c>
      <c r="F15" s="2" t="inlineStr">
        <is>
          <t>{"n": 3}</t>
        </is>
      </c>
      <c r="G15" s="4" t="inlineStr">
        <is>
          <t>yes</t>
        </is>
      </c>
      <c r="H15" s="5" t="n">
        <v>2194</v>
      </c>
      <c r="I15" s="2" t="inlineStr"/>
      <c r="J15" s="5" t="n">
        <v>47</v>
      </c>
      <c r="K15" s="6" t="inlineStr">
        <is>
          <t xml:space="preserve">AFFINE EQUIVALENCE OF TWO BINARY POINT SETS
The ambient space is the 12-dimensional vector space over GF(2).  A point
is written as exactly 3 hexadecimal digits, with leading zeroes retained;
this is the ordinary 12-bit binary encoding.  The two blocks below are
UNORDERED sets, each containing exactly 64 distinct points.
Their line order has no meaning.
Find any affine permutation T(v) = M v XOR t that maps the entire SOURCE set
onto the entire TARGET set.  Here M is an invertible 12 by 12 binary
matrix and t is a 12-bit vector.  All arithmetic is over GF(2): matrix
products use XOR for addition and AND/parity for scalar products.
Matrix convention: provide 12 binary row strings, top row first.  The top
row computes the leftmost (most significant) output bit.  Inside every row and
vector string, the rightmost bit is coordinate 0.  Thus an identity matrix is
listed from 100000000000 down to 000000000001.
Order within the answer matters for matrix rows.  Repeated rows are allowed by
the syntax but make M singular and are invalid.
SOURCE
252
01c
efc
098
035
f58
c0b
6db
7f5
641
9f2
f63
024
382
c38
135
d49
345
70b
aea
537
3ea
6e1
aeb
10d
660
523
c60
3a9
fe0
dcb
d31
2ee
33e
7b7
7ba
102
ba7
fd5
781
280
749
6bb
667
e14
bbf
715
110
7b2
4e9
21e
b1f
116
edf
4da
1b1
d0d
5ef
b45
ecb
6dc
f50
afe
0cf
END SOURCE
TARGET
e71
9a1
4f1
7e9
60a
4e7
7e1
6ae
e58
b99
def
264
3cb
a11
524
bf9
7d1
da5
5fa
56e
d56
dbc
147
39c
e7b
221
f23
e93
274
02e
5cc
658
4d7
347
5af
8f6
915
612
431
e34
9aa
e50
9ef
88e
ed9
5bf
629
e95
aca
c22
d9e
3c5
103
49c
87c
d11
51e
d66
84e
fbb
22a
f7a
e60
0a4
END TARGET
Give your final answer inside &lt;answer&gt;&lt;/answer&gt; tags, as one JSON object with
exactly two fields: "matrix", a list of exactly 12 binary strings of length
12, and "offset", one binary string of length 12.  Do not use 0x
prefixes.  The following shows the exact format (it is the identity example,
not necessarily a solution):
&lt;answer&gt;{"matrix":["100000000000","010000000000","001000000000","000100000000","000010000000","000001000000","000000100000","000000010000","000000001000","000000000100","000000000010","000000000001"],"offset":"000000000000"}&lt;/answer&gt;
Output nothing else inside the tags.
</t>
        </is>
      </c>
      <c r="L15" s="6" t="inlineStr">
        <is>
          <t>{"matrix": [2619, 456, 102, 3037, 1126, 1003, 914, 571, 3016, 2771, 3033, 2233], "offset": 712}</t>
        </is>
      </c>
    </row>
    <row r="16">
      <c r="A16" s="2" t="inlineStr">
        <is>
          <t>2104.04330</t>
        </is>
      </c>
      <c r="B16" s="2" t="inlineStr">
        <is>
          <t>Equiangular lines in Euclidean spaces: dimensions 17 and 18</t>
        </is>
      </c>
      <c r="C16" s="2" t="inlineStr">
        <is>
          <t>geometric configurations</t>
        </is>
      </c>
      <c r="D16" s="3" t="inlineStr">
        <is>
          <t>https://arxiv.org/abs/2104.04330</t>
        </is>
      </c>
      <c r="E16" s="2" t="inlineStr">
        <is>
          <t>easy</t>
        </is>
      </c>
      <c r="F16" s="2" t="inlineStr">
        <is>
          <t>{"n": 720, "margin_tenths": 50}</t>
        </is>
      </c>
      <c r="G16" s="4" t="inlineStr">
        <is>
          <t>yes</t>
        </is>
      </c>
      <c r="H16" s="5" t="n">
        <v>67175</v>
      </c>
      <c r="I16" s="2" t="inlineStr">
        <is>
          <t>yes</t>
        </is>
      </c>
      <c r="J16" s="5" t="n">
        <v>36</v>
      </c>
      <c r="K16" s="6" t="inlineStr">
        <is>
          <t>EQUIANGULAR INTEGER-VECTOR SUBSET
There are 720 labelled vertices, numbered 0 through 719.  Their undirected
simple graph is encoded below by one hexadecimal integer.  Ignore whitespace
between its lines.  Expand it to exactly 258840 binary bits, preserving
leading zeroes, then discard the first 0 padding bit(s).
The remaining 258840 bits give edges in this exact order:
    (0,1),(0,2),...,(0,719),(1,2),(1,3),...,(1,719),...,
    (718,719).
A bit is 1 exactly when that unordered pair is an edge.  There are no loops.
This graph also defines 720 integer vectors x_0,...,x_719 without listing
their many zero coordinates.  There is one coordinate p_(a,b) for every pair
0 &lt;= a &lt; b &lt; 720.  At p_(a,b), vector x_a has value 1, vector x_b has value 1
if a and b are adjacent (otherwise 0), and every other vector has value 0.
For each i, add private coordinates used only by x_i, each with value 1, until
the squared length of x_i is exactly 719.  This is always possible because
the pair coordinates contribute at most 719 to that squared length.
Consequently, every x_i has squared length 719, and for distinct i,j:
    x_i dot x_j = 1  if i and j are adjacent,
    x_i dot x_j = 0  otherwise.
Thus a set of indices gives equiangular lines with common absolute normalized
inner product 1/719 exactly when every two of its vertices are adjacent.
Find exactly 18 DISTINCT indices whose vectors are pairwise equiangular; in
graph terms, find a clique of size 18.  The order of the submitted indices
does not matter.  Repeated indices are forbidden.  Bounds are inclusive:
every index must lie from 0 through 719.
HEX-ENCODED UPPER TRIANGLE (64710 hex digits)
594fba5799e6f794ca2e8f7c72c978411eb135904ccf2047e27ea0315b940990e3937b27376908342e57f1aa17c2ac5587fbd669b40a26e037b85a8a63d28e59
d9447e9ce97e92e5698b9fc9d664f8cd5ebda752f14405c366316b16d2525671fbbb657f5e4a487ba76d26fbc88eb91ed6d09168fdd5590ab782f2f259d65cd5
30d02a2cb7e6526643e799bfc45212c4357a3eeb192655ffbe1a163cd017a344860ec30a810ef8c2ab8277114a336cf80dce7bfde054809ee7e7951db1ae22de
18fe34f396bfed04c437f5d0fd26ae4ecf2b5695be234d50882fa1b650bf2038dba126cff25247785bb59c14d718dc4ac93a8ea1190ecf33d3c18ea8ac492ca6
e12d7ead5f52919d8756519fb9d44cf472db9f763d6cec70804dd2c120b3ae4c85491f28a8322df2369a15398f5ed455fa7f53f33804f7aad26bfd24eac3e3da
e1951b8e3a09cf3cb16dfb36d3e8dc7b622a6b9ea2520539483fae6439df5f5ce7b1cb9a26b4542db05f99e3ed35aa7501e6f82790b99f7c5c1fb4bb40d4d6ac
0a9c3a7e332dd72a9863da0e8f80cf3bc633f5ba3223f71e367b946912cef8251b7b8f8b79caf45dcdf704fb2c31cd41d02221c17417ed000116c09b0fc70a77
0c6eed96f64546bf5bf9677db60fe0f90670683065b759a698e447b710dd515ee805287f40aa17930b04bda7bb53cc3367bcaaaccbfcead8ae343cdc97dbaca1
36b8e30cece438b940b15a0628f7362d692c989fbbce97c0dd4735c896bc9e0da7f2e119e28be1db24f1185e66133bf06538e9ac41b1ddf117a6e3168bb5ab33
0b7027005825bcc52995c30e27b64d3d31b08427a300f7d6670273ae89f779e2f6dddf4048d3787ae9d05ba7f9c717be5ee889dfc08a1524bf160d12f3d3604f
d03a03c0a48cc400a72dd5bec1dff336a19d9f155bf07eb5d16078d2a31771b2c35d633e34145684d8dc0f6a57e563bca07a7ef2153f1afaaa45f9bdd5e15f7a
19892fcad191f1a320d9d510aae59831279cc9e1cb1cded6412716e6e22b90ac15cb6a60b4c9cb16c825ae378dcabf920affdef98ebf36a42590c85835f76953
da587b64788e349f67a6ddf6c7b3e291f7bf1adfbd57df6a146b2cc9fb9f68f64fafbee8cb04618afce6ab30a0f7e63eb38cf70cb3e9dd5feec40ad082bdd99a
6312f67fdb8771e3c30f7ec868c506da82ea7424d6ceaeed5ee1f18afd87ed101714cfb733d9a65ec181d29160cd85bdf46957b9ac03ea3be2fbe966cff059c3
b676066ad38cad74e2bf8d4c056eee87c7d45292b57cccb0a977eaab5c0ed2d839833e4a164baf49fa78ccd39649190c0642eaa9720ff63c44e43c0f7d8da66b
9d80acbbc25780d2f1384995a7a7b7efa5003c2d8aa8c3a0bfcf10530321400d31c48d57998dc69bc45d21497641be2e0fb49256527f228ead979b44664075e1
9ae67adaa5946f75d6955d5d36b5e4955893f7f00625d51fd9cd99b7dd2663af081a1748df09c9074bd4e4e4f7180cebb9e0718bd1cba71b9708c9ed5ee14dfc
4b25e9f3ef1e9ab4bf907ba473b200d4e8ed517a7ff476daf05837333f00f43ec537e4af261c94c2d8c19be08be425feba455919567f3f99eb72d41b707291a4
7b16a8bcdb766fc92ecbb411986a562e9bf238bc4f3b02a03ca3a1a4601ff45f7a78789d1dc00969cd495076d9be6512f8c5fa958cf775751cf9a9b4285a384d
635fa5815b3952d7f971f7d58d8e1ef356e0b125749972bad2ce5807cc31979dbc2677d72a14413eeccfea1adbe24260d919a89a4d455e1fa3cf23ce5a54ac76
0e1cf60c3df692731596c723f1e768128c7a48bcf4516ade11d7d705e1903c592563905225302a0c212bf78dac585ef25e4f06d0625e979ad9a2fdb6f6143b92
bfb8b00e7e5ff309822e3c1a1bcbcfc590b05b2fc140d4349547d97f7ca98606dc3761ee30059b47b391f5e8c5e24d98879c9c4daadce90e03875ad5e73448e1
afffe25097e4e34138a0f10ab643b1f6754ed7999a3184ac037265d8d1e0ef11c53ef8ed2031a531af44af6b081ec12df3436c24ee084568237152558f247b83
5de8f85d98375e9f3fdf40e8ea5300d3301b6d32b5cf1effc967740865935c53df793bb46e38d5e972d7547cad6121fdd8c7406f2fa8c6899bb13cc2b7444a70
5aac44bff8caba2a1813a9deccdbf0014e1c9c12ef7725471e839b2e7f9657038c4f45dca88ca91575e0c5a955878b32c336cf0ec812fcf7d0168a7c405a28f0
757e0ff94b347984177e5afae9a14b0a49e84c55d7eb5d7ed552b6492cc4333a4b7f45e0c2edff1f697b2febd44f71d63cd6a638c5fff87eb1d85040deaaed24
fa16d84841334624553d6a67897b55f6cfbace93e726060a08a62023873a082cf3c8f66b717632d6e392ba7dd71866d29eaf5e9b1f08571d943c72cdfe51df37
ee5ecc63b1603b6a0617a0ab5d528e98c5233e179e50ded86115e7c22f1f0da2ede8971523d86041e40a60a672457f63d54b5dd0d7cae5f516c5f1922b244980
8024fa8111f3bf92d79f463ec95c3199c1de5b3bfe920d8738306118927239d7445d78a73cf0e366676f674b810f140ce0d8a50c68172ff912a40966f4535a00
406c46dfcaef8f70e778f15a009f61dda617bed124d0f9221166603ae4bb60184a5e2b0f2ccaf6d543772c7c5cf692fd5f3d2d286a8219859cec008c5bc73e94
6aa551bcb78f69f2ba4e3dfa57f89fca70f19acaebcd7d3efd0076aac6a5ef0c6927f4f3ec666f6ea7d4547370fb9492d9de6d1275610edfae601e79b1c8bf99
f9fedce50a594cf0fd95eeb03ad1918569bd7ea630b154c196772ea8c7fe47467b68a97e695292db78fe376e7ffabf0a8137c0397f5c30180388c02cb08e014a
f0b9efc50b3ae09962b63bcf80a245c0a0510686102f1be649cfca72d837fa687cb1bb5f1b20b7bc9422d376971e9cba62ff76fa0f862132d45701cdd05e23b6
ec3a11b24e2033be2311d4aa764abd760f4b090373c5b8dfa0cd49f0fc49cb1b380399bc4e0da2eee92da43f634501c18b2c5dc12a9563b99ca9b5ddffe439e3
ae4df810832b6b11e3ca9eedc85151e1740660a4b9d42e201ab26612f675e79ff149f35d719d0bc8bae0ee60d8f5facb8faea28a73f2a67a60bf8f33ae7650d7
7b6039f4d718dea2bc608584325a17ca79a57240f04e6687a7964d5138b4fe0904428d4597f764220525f46790d11919f5845c1def310f2a17ead59853bd2122
3f6ad26e82bc5106181405816950a23c1e12d1eb884a0a75485eb518b412ff8f9583c4d5fbcd2e1d978996e0c260305fd4cc138d69b6e1076715e046e5acfcc4
f439553f571e6eb0681c42bbb88e782c8c4093e6989e749ce7572dfcbb872997e6da465d11e089e5c52e3f969ec54c0c6c9a6f9bae9063be1ff95ed2143c9ddd
14a1e1431fdb480749467795b67170b98e568898c40959af77a75f57be7f27272c917c6a0138ce8644e274ce9ed090b9432cd0595fe9b9ebbfb7ae1a9c34e1d5
27b6ea035d40f6529e868eecd5655fe5b07607f829f9700137b43cdf1a3aa5e42b5688fbb1e7ee2d0526f83a2b4eaab507e44295ba85cd442260eb79b4d752b6
50d2ea038b4e8f8f9ce9c07028f15719851c9a96f90a3a5d317ec8986473817adc6f64bf38064a14728fb35f2427e7dfc29c23323251aebaa6b4ab4fc3848b69
472eee1f876e318db9edf59c7d02cf887624ba91cfdc21124853deb9b9e3f982b84b958190a6e9291df1ba57f7ab4d0240c4f01aaac32bd479a1ba800818c393
6c34721beab95b0f3e021c2d0052c2525bfe03f3ce0ded55f64e73540a1e08beb4c119a1ed8e246a6da67052fa4cb7f724cc36b3453dd26b3ef631c12355bb8c
b74aefe3978f917d29419ac4aa915365394948fcd6e9ac4c03d0f7fd254fecc7798d57741c7300695bb7d564acc74e1e0a67944cb6156776670585326a664275
a05ddbc7099267aad0f74df76c01ce22b72bd955d7b7b68fa35fa4c02edbdf207aa54134731e0165f25b0b142629cdd3b89253728779a05a44d2f044973c31be
3c5953066ff617baa2c127cca5e636b6558a643bcf9a6ef6bc2f7de8e3a1873e42fca48c9f0a55c971fd664be93f9dc5bd66864a7bdf2fa67d66bafb262b6662
9d9f56b1f934a8c5522fdcc3e944fee4961e560b4f1df5d87267b9fd3afe33265a64d773a4e3ebeb6b553e9b0de920500714da1c0f5329d57acbf68ba375eac0
ea1dfedbfdc130028eec9faa437bd68acc72697aa61b6fcf9236accc8c4dfc993ac60238937d4a686144cab4c4db0a15ad9dccd4e661b5241f4c924132afd7c8
19f8359933eb81b3fd4393293718b61cedd6920bd657558a9f679cea9789650f49ec21a3e72a0b772c06a5b9f6d271c71196c7c447ac58f5855e40dcf9cf7d63
09cc89f30cd4e0f30001e18cc951a14b54b980577d5aafbb29949f85a708d52eef2dc9c21c39548624526a874edca1650456ba4e1ce0ad1ce3a3116e1794b088
7e05cf7de1bc858d2d37caaa870561283f3f704f8e61045aea4b95bdd7094ee6294f64a53d3ebdeecaea7db876f2b99ebe2d4b601c32cc077502dcf74588f898
7917b237cb2445907d03cbd0f8b3dc0c1c6e453a3a40c336654817e6dce9b5128e3b3ef32a2ec0f3ad3fff8579566a4b16f7372ce9e705a22e1a7d85a007232e
9c381f68d39a7d842a09f0646e6670d45e4029aecc8140307f51338c198257fcac6ccd5b3256e033b053906ddbdfaccc6ac808e7d8282425c0bc9cf0327160cc
3a9bfb66e3201139b24a362dd6fed7f790673656cb7920bac4241b4462b0c97e80df621ab562ec33ca2a99e6e822c44aa1fed401c4dc5d7e68626a8ab83c3f5f
cf3dc0f35eb0eb863036fcffbadd5b3228728c8cf95a7d23e9a42d7fa0f3c5cf0deefd8c8274d45e8f9b8c65d5158422be14960feffb9664872247c4fb8cfd3b
e4330d8e992abd92b495ac03a4e6c1f100750813a34f50251f8a9e8e4bffd727a059abf8511434ca1cf480cba297f15edd46c559744a4091cf6580b88067fffa
7e8e17c1ada7e9f9697ccc2866d4762c5770f933cfa8bec3bc71b821288d10a916b40f5bfe0a9be6ecd36096bf02cf0c538d63663d05bfdb1ece7d8d89cd6546
bacb052abed1efe4da55e465dd72c8d7c84ac6b800bcdab11dc9abd86e2329164e7ae62dd13fe0b136be96d67f7bbffe66b88efa8f2cf3625a4f67aef755af1e
6c9a2ca7d6b949db591d64ec5bc963617752444356a36eabd8f206cc630f48278780f16c4b8428abb455f2736f2dd6e0ecfce265d92624b96a57995df1dd9abd
dfb4dfa1dec4c1e62de65eb666ecb8b766a46d0c872df5b7e073798cecf97b0eae56837ed43d240084d3c91b79c87bd740fd2be2f6946bdb5bc9d68d12e4fea0
16d0f3e3e3b48fe8d6f48ba8a818a6941b0717e746a8477dc4faaae9956fac1bc452f737c4077473f0f27a277dfcbec6bfc257c1afcbbf40f35466160f8c7808
c5f4f1053d981dab4876d6f6f3a902a325c508867182f0df3a0b5e347851302b87a0c2ae16a1088b386223c5047d3d522ac205a8a46bdff5391dbdbd454e2822
287f76ce5f05f82ef9fe3ffd4aff777493bdb2920b493adeb737ee24d81c9fc8dfc5db2b08106d99f97521ec60df3fba0a24c74ea11ac64ded7efa603aaaafdd
cd78ac5ce9b02cfe073103d3856fc087126da9e195690b272073b0a031fdf4f1cb279d8d58b1385de5cb0f53c624ac4e7fbf1a5e0faa5b6a31e79947f595a43c
4ee99cff997bbdf7ccd1417f42e932f2dd7bc104605ffd14236aee8fc1dc39a5af231e0695fd28fb33893e2abf3ec30d4c479fe16faa2c1614fe3a0b31fb268c
6665b93884d5de0fca11fc17e2ab7069e60549f7b4dcf62537e973c07989f1e64b31baea4fe50542117ad86ba539c5a64d3b5517b17a0edfce0ca9af5b89d670
51f8badee6b005d2f943ab759e80e22842095f2235d87f4302e6f5fe71e06758435914e1cfc7baa2a9bb666ba7e6dd66b660abcc42af8eeae2cf246c4e881cec
1b3567e1b798f90b4236ebe29c1724ad43043115de4ff6fdcaef0abd6a42d8dc32de27efd22c7ec403afd4a74471c3c19dceaa9931e79d23383d9e3e0efb6e42
402deaccf1340e13daf28259b7a2df43cde17ec050b25bb001fdfd6f76821dcbd64fdfcc1f1a7ecd1889d6322d3d1506b863e0eda48d0538e15b9c7023c597ee
3bfc585fc02525b10c386ac932028d543e60a811155ff4915e95a7b791a3f8536fff05e250f1c360293538995c5d6dd2880e4939042177ef3f7679dc8221e8f0
2f86c431041b4c96cc435e81e23ffc5623b776e47e86e7a70be3d7a27412cbbdf2cbd1e9781510a02ddadc873bc12dce71c73c08949532e43e13d0e9dc0b709e
3de64d2f5552698ae4f99ae9ad44b4042b2ff8d6fbacc49d0d49123b5aef86553efbe4d5ff02b23967e4f4fcc33b3ee694737b26f4756c0fc2b55c4ce58b99bc
9be05c7f4e0de93a20e6653ee1ee7a6350567d3e16bf16ea3c63099c2bd88c5a29b43c825943a1443e456e7617aba3330c417100a47e717870611a7f2bb92189
11a9f38844ada27599f4716f8b691f7fa3b9dbd85bfe9bd176ab1b629adaecdb7ffd10d4cf7b6e2658ee3096fbe0885f122e86abf193528c0eb82b70891c5ed9
f251c401e51d5585ffd3dd59bb909beaef17d26d088ad9e922b36ac086f21b9672cf2bc0a83e17824099a59a470403c91a06b5039ea97904d4f04469fa6d24c2
16dd5b019f96ef8bf075833ed1c07ffcf54a363c0c4dd25065c53fc13cf497fdc73df207f42d2c7a5f25e08079d089d7b55d31628ec5902f65572722005079be
06e24ff16a973903ec8654ad62b75d4bddbb2aa0db50a2ba86ba32d69d6860efadd4654319923cc3e6197f12346b73bb77ecddaa2145f62e8876cbf8518b657a
7166532dd4458cfdf855041fd9774d0574822fa67c4168cfb8679a91690ef109fa400315bce0552b508ed4e80b45d3c49ba75f6350bf15b28e1720bce459130a
b283386c2b38afce4451db26a9089594b5ac2fcd8b3344f1452ca78b92b6377a2bba9d24102e73a3cbf6b24a33f1d1967d0c4211d53a0912c3e1ac69be411407
98d9a334b6ef5cc16abc387477bbb5898717a644a7ce26a691abc603b60534d1708e52c40eca1e200b53a5e51499834b9a9ab132dc490902b4e2d999165b3670
8ed921d0f026f4a69f96be87662f88c48b0527b31bab71bc51bfd375d34776c0a5f8f7efc4bb0f5a21feda7c3c52c2ecfb57f31cb55ff1bf7850e4477e0b5d6d
8fbb493bd20a91dce16d3f437c62b4174f2c60f066eb56df1d262c0be62efca62c0bc4ffbfc76d260a7b8772087a7dbab81e3c758fc9e44d3b73ffde5132353f
d8c229a01183e97f50159341d4bb2757f16e04da3798e9d282e92b7c6a5e5edeb0665a90b17b8fb4eeff43a0ac44c5e0d123efef18ba9a90e893078a30087b2e
5a9a08b565d1c67597c3d496e53a4bc2219481ac190a1e20a0444ad37a4efe7685ab3992bad2e881bcce0f15e782e7427313425db29498f30d4cde809f4a6212
726b48e681b493dfba9166fdf79e7d2f960b41ff72e0c9f2fd1e2e7d8f1e25b68ff1aae75e15b0015a3e34b8027720028f473735510d961af3d1b5afe4a0a21b
5f4eabf318f53e5c41a22d35f1edef9199b709990df1fccaa9ea123ea39f97e7553037fa922d7e358aa0a3f6bcfefb6d4fa22e71fad206fb122be15cc57d60e4
35d5d18efd6d59b88b3b6a145a637a2f4cbac0e5aa51a89d59f10a6b767536d46fa75a777b303445479cf3cd546289046149a4a1eee69348feac77ad874511c9
81db0c4113a3a1104b346c14f2e72600d7b5888407193884e413e92222d19a126c8c1bc5be7ca32b2c74bb030e57b947e7f43e6417b78659932dfe171e818174
d7b28a5b0af99347f93765a93384438edd8235b63e548b0bf4bb3d4eee0ebca80b9e613a2dba59fc1d8b74e1273367109906c289a88dbef17e87c3875990c088
f26f4769e6bc40c7088a53c2731a978e9eda7ada349785bec53a3f84fd9d1f9db3556d9d6e97848110099c28b7836752a2844690f1600cb629f41a3e0540e959
38ab2a780ca2489c09d332f86e4b3c0a359ea94170d725c88f1a02527b49342cb7eb03e4bc6e2d616a40eca49cd352a1d422b1d5aaa6ab3447464ffcad8d8387
f475e3182bf05e77d8de659df3d16eb9a722dc7c40ff67fc400ca7302336068e5cfe419e363d054e0d0a2bf04792d36718c4f45c344d6f3adea3ce8dc690b08e
6f4febc3243d8b31d6caca9c24473363843abaf0e2a4d1f6b49d6189ed85f28d16266bd2e7d25796b79e63ed9504772dafd7559e5dccad3a536b91a37c9f4de4
81ee4b1ff96b081c9b717938d6f4b2d1a63b72aa864d873912b134aae3c3d6771eb8b4908bf3babbbaa2a1c4f1dee3bec726a181f51ae77986c2e4b04afd5e3c
9a614b5945c27afa0e4d58600d52fa495f1726374a17dbc6b37f2d4306b0483254ba336ee306e9ea54d66334491c27e406375ad4a463e34b962e0c020723b75c
4fdea9e800d502df812f58921403bea42da909eb27ea3411929e12e6127753c2796b6fec8847a44227d65fed6c703537bc1fc925a5e28e77fce9614e1cb1cb38
a9a5efe36cb89e77faadd26617014f5ddb3cb7e8e7893211562b9fd99866c1f9c9cc39d49c0f4195dcbc84f984f54497dbb1c160bd03cd5a4ce906cffebb97c1
6038f8e57ac784fbd2a36fe0a49d44f8b7b3cd4f81eb1eb147ae5b75b5ba232cf4f2f3c520684cee2c12f2a22512bff4baab94aee084c080ae6b6a1947b0ad2f
d878af47fa96b6842f52cfb6a1cf2aac51590140574e0a10fb6abf8e05308ed8fd4cf77d7a7e1969efab68793adef11120628105af3b0e667b2f817c5db1ffc9
939666f4a7a27fc59076a9520e7f6f259c2a37997e309937b1fc32dd5d26db90efeae38e82ac5a637becd9fdb7680e6e55c66ae04976f3a76de177024b299b67
2a9ac8bce179af894d273208a65ed1a7b37c7b4bafea8a40c647a9fd80f1625bdd80b03766a2d5bc7211a28b65d84c07858c54bfe69a1fb41fc01ecdbf4ad64c
0c86d29d2d93377e2553b80ca55058b1c79db3f56b595ceb773e6558d52bfaf39658c4bff24d0fb3aba889834142d26d8d1c2e907a963952187b377d077a5b1a
414b5a41ee53ceb9e06a25c51cc4fb4f194158709be09b1a03fef5a06f9db25d76a8a0fde9071183864eadda4f7e2b3a91bc15f32a319f24e4e0bbdeb2865119
67961fe0ac4d13df48e4a6f56fb739caa73805c09125e610b730ad0e131cf96cb9c5180ed829e911b85add573ea2e2b3374d41747f4f63135b3c173ebb3a1aa9
2023e1466dea169119d55cbc8efead69a34c135c5384e364574b696d2fb9707a20f64229cc42822499ee1f41943d6afa6dbb8b164f4326fb83101db6459dc2d5
4fb1d566e75ab2f8452f78805ed57fc9620a70d403ab3ae64719490cd0a44d869bdfb262072c4169c7c93a381404c2785d3df01d269b405f80d9c900bb4bab60
3bebf6dea7880a7e3589c11ae1d0360c6a438ff329e34418b8c71d101032eff5192d23d357263a920e613bb9335173f29aec4eb2ddf6b6b5372b64194981f742
f8bc364ee7e1e322f720cafe51edb77fe1855edba92f42f41f41749e611dd4efa8cbda346def5c607232fbb5654d40e41393e57b5a792158c9a0d8689ed74fa5
e25680564ccda1c3295d150407cd5c956ed43ad842408e68c1ba80df79c514f9d54af25d22a68f1268dfdccf67376cb41e579449e4fddb5c478c33fe7157ef8e
b79bed7fbbac9ea2ffd1ec63a392b4e3ddfe7e66c78b539b727cb321e139ba3de03a46201ab0b71013aa4dd9f424bdc0ca1a240fb91b98b97db989435d6d0622
a96bbedb88096a9119eb81fd6ba2661bae3702c70f0347ed16eb7009d1ba78be8d5eb2ca6f531f302c81d4b131e499029ee1b9e5facf661fb8061f38fab7e5ed
8b356c69d140f045937765fd4399b5ed30ec4dfbdb7370153d70052e3bf7e82a83df9d64dc5a5d271a65b725504c16ff9618b266dd0ce8199f0be5dcfcef902d
f9e52a9747c2a8e52c69bfe11bce058a7cbd9a705fbbb09f3732f26f645b32c6cd7d01c19da73219f348623194b3e4b49b385f6b53cd7f64b8c4272f0f9366b6
6b4f46e7169b1d03dcbce0fa90245750d3df521bd21f12e2fd1bd78629cd11b1c670b0af3f9eebd8433e6d906d594059c7ee4d8ef5b2cdd56c763ca208d58200
a024c92aa20a8e68ca5cdfc28ecb50a6c5b6abee6bb738f3d43be5d3a25becb1917df4147fd83b45547b781cec597e9cfe57e8eaba48b26f7d7ce6421af326cf
fec75f07411fdd1d493b790f5a79f89bef787df2b9568ad004e98ce143386e343edda090833f379d808d3c7c8c2bf9e4c81afd1c5e07ef2d7c63879c0b3ed377
577e9077aae03ee482f96d98406639ac661c1065d272ce66592933a70dfd562be89fb85472baefe7434e8fd11ad107f1e4c526951890b0077026f6bbef98c1dc
52cb35c54d67af2e45f74b0adb7ffc7472493f2e6c62a0fd7aaba109d5befc0fb88b5ff5d6d086a557d3aed1e2393ef2c1bf618727a2f15c1c716d9e688e266f
f902b0b4608697d4192e2523c872bad7797d3ddbb24e0ff55c92fa93746f3b0906fa20ec40abe3cc876a3866e63231e9a47cb15cb2570cf75ed3f190d2d80cb0
57f50c01e199e6f3bb9a1a56f5a6550cbbcee10a667a7955fd89a664084c61a7be28da20461529c79bd67f9ae3a858a0a36ab3cd304da6e76bfd3b2b7ebd8805
7aeb65d47955883dbe5919da26a6276c0f0c7438b6289fa8e9e15ec886e1b355813369df09630ff535407dbb1c7e57650579b470d6a8a2fbb31bd57dc5cc71c8
ebf07a628e9d4a3c708faf6cdad94cd6f9b328dcab495fca3afa633b6eb4446cbe5ae88da38c4bca156dcbc8d60950e1710aac3c251b567d3de5fa79602a9d15
f59ff6875100dd625dd7ba6ba1ba98606237587ae66299be24495ef9c7dbae7f1103964bf252f6bf6b235a5940229070a06f74439557d397a10fec0a3f739132
e3c69e03718d1304202229200d4d1877f4454d3a9db99758a8b027ba94f2e88a928d19e3899384f7d7f1e451379d575ccb2bd0f75ac5d2271e38bef374f96b68
a54fe546564fc22cf70f43fd7c017a2a4b13fec8e8565312bc24e8d7c111b889e4348a6b79e2eb8288721b159cd32975c33f26172333bef97c65e1212f3e1a32
a5728d505f658df1c03a440b1bc10cbe5d3554d1da7a84edd20ac23d3f158e4dd2ee568507b2ba7c4ac8f89a0bbfef51f90ab15a7fb2c827f4dfb4ddeb76d3c7
3674aea145f07ebf91726b3a9293aa133e4178b690e06f7779c8ffcd7ac966c39ae4b7b1d935444851ae4ee514402a4201a576b3e46fffbe1524b75c408deec7
9eb3caade5155189515a319aa39fc7ff7bb4b4e6a12ecdd0924e5854816982bf6f59dd3fc60cf160aa6160632c7e07089e80b9231dbb54c4df93587d9727e90a
abed8c6efd8e860698247ca728beec8613513f9c267a141bf9fa998dd4df6b8a6f94b467035a642545dc6d3f9e224de6b5cc010ef7de4421c8f1472aea9dddf4
c83ab7c3d417fa0c1f56c1ca5cb8dac1c8a14cc76d75895b8fe27f7fe8b1f2956e192c9fbad01878d7afde5415233d8443ed66cb3b2677eed40964add627f38a
aa96271158f86c8bffc63365b18e6c0ea713ed68923da281eba103a6edb8433181bca5d0c844828e2f6d15b6fde8e6afbc5a69f1d387e67d6f7d389d5597200d
6441a11f945341ed5fe058c396dcc00087120d7d15196a1feac3dbe2c971a99a77a28425f43e93985fba33054ced421a8514fbb8a01dcf33b23fa46a89887640
083246333ab1faa2f96dd1cd04b3bcb769328e74d377e5872e21b9acefef2eaff3648f6a97257977e73061209ba5807095cc9e57e97754be2223785a8bef9e43
8f16720d014f24c4bbd6054218f3326914a48512ea298c439a9f026153801bda8975d67b396bd4f69858b85036ca9a3129bd74cb79ae6769e9133657470eaa90
3185730f2006f8a03326f9ca8996a3f08fcf108ed37178a616be8ba8727956ede06110c14cfbf494f0dafec5082479a7be54ef40bf80c5716a6abb96164a108d
5a4bc052f2eec9bef05fc795abf5f263f8b029a1939bc88286149686af58e393f316395c3aca7ca26031eb8e450bc9c73980304dad1edb4fc22a23dc457eff69
b79b446117e42b5a62f8757346c65096e4217eb9d53712527a984c4c485464b6efaafe95093cb810782df1da4400c1ce95cc13a73351f2edfbaa7d363681e28d
8357b41b4a6c59f0aa70ee9f7ac208913af3d7eeb73d8ed6f27deaa97f7cac41a35c4eee8f2448ac0b8cba0521be5edae913985d58a2d8771c3a8b7b0d8843ee
4795a64beecea4ebef6e6f51ca1f7e8942a194245ff52f21e60273618994c116fd97eb5a4ac094bf76b0931b8ae3881ebe36af83d7ed8dd1b372eb39ee77c5b6
073f12068365f83e87936307f153e380606d965ee53aef2708e925af8cd50eb94519eed1165b42cb8b16ac35d04a918cfce37ccf954c8a96730f18adb1fe439e
c552ad4b7a52810350b11f79a28815c146e6fe140e4b2e6083849f63ccf3c7a61d92ba3dca6da4d60df5e5b3475fab78814679a2bb797f67b337a26225139e43
2072672cfb14ef67d4e9bbfed59e7ac499518e0ca0c57c18e67a730d889d2a825da4ce643c4ee0918ed85e999e80dfc2106a365613ffd6a80907eccd193b6b22
443d13b9d8cce7fc77fea9cb3f3e819771cfdf551459d549ee46fdea3068ce87c3a3e609f9a8afc2977c335a68ebb7d111d484865fadf9fd9189970a3d496dd7
a58d662962cbb3c160c4445f0d24b77cdf1febc97de8ce17b35df96b6dd9a36a08bd9faaee3926a011fb1fb96d13df8d6b092b31141e7611d09ed9f29db1f190
ee13ea5c27536a6f23eb35c474f32436417fae37bdf49ddc21f17bc6f14e4c80f02e9cd47312d5e35f69b719f13610b2ddb6975a91fcb04fc592234dcf6b0471
1230cbe4631f59305d5f707a7c9800850defc3f2dd22821b10f327706d9faeb556bdd9cb1f5176aecb29ffa558202a00ff1afede15c4c5cb8a428ab3c7c7c01a
ba2edf0449355e27e641ff9d4154890bd06b8aa49864f23ecd8dfed9043c61dc7f96a1f3ff9432785f57939500902118dfaf82fd29491ce2240beed8fd74e8bc
54a9cc392002752b165d41ede800d9b0051a37dd76b66833fd5f62b40f44170bf4182b7fe83d60aca5204e9b9cfbdbc490bec79d349caf824e54b93c45c6dfc0
a9c5b07be62d247db0f274d435689abc0d400ee196652603c04e317973cba522032fc821a414017f7a4bffcf13043aa1c6f3a4da617a60622bf0a4c17f2aee84
67d32a38d72cc5f9a383032d858e7aebad7abc8f46e884fc62cd3d8b0d5cd93c9d4897f0cd3ff2fbfcc9cd6e9803db8561304a6d2143387b79fdcf9f18439e40
e403937dc3155bcfce1db233c57912cfe8b7445091629ead6eecdd3d5091e4867ce3aae48a4299c3ace84a6145cab99d957a7d9cefefc1bfb123af7198abe62c
9c95a2442499e81f4015539b1d6504f4537d7aed9012a23f939d769f5fb6db7f2c7b3dbeb4796908b8708d6a88f0dd9936dff152e16cba24ff218dc5cfc54e76
a33e2f3eef42ed32ff22d03605a34e90453091de386ed25dcd90ab8a52beb569d69fac23e4e96d41819ef476dfdae21b41ebc6430194e718648452b0b45ee662
a2fe0dce7a1fdde423a358ea3da155bfcc6f7a8af010537ae5649e1ab951b4a5aea6d44772f01e3964509bc50a1273795283482db30f0551b6f33abbf8d522f0
d5ad0adc149bb73269511f32ebfaf6aa15efd41b9fd1e363bb80e4139dbe83dc0540178a00b791fb92878d61e71b7e2cd34820e1a5ea509977cb1d4beba9c0e5
f323c09e91443a232fc68f831c3fe8f75c3bf64c633693d829decedf70db780f2c3ecad97b83e333992ea46c4c67056d9408ed25862b46446275d57e19ca806c
6b83224ad8dc43c583a75ed99fdc613b27b51c882b1d8b94588dcff1eb8b4ff4cd37b263b2bdd9d1d73f663e34b6288b6f313afc695c6359cd62faa79284e17a
c117520df80d91fce4eecdc1fb9e9631c4fd29373535a88a8cf7fc8a7719ad9bef3a3c196ac299eee9fe54fd34da458d4e2231ad5531a4843f2ac925786d8aab
39cb9ade4f11823107f29c3d4a9e769fc8bb4b676458de2f23c5acff425ba69a78d38a24dc6a7bee79ed77936159333e999f4601e1cab1aee4c3874d95c9d131
862b67acc3a0a71256f24416b6d8e8d572dba22c5ea416b57657e45e5f2fd5decd764291eaade23cdec2ed0f895a28bd2d03feffd4c368d6f39947a9edbd34ec
dc5e785e13808262abab041272279d0c628ff65c9aa518fcef10a12e435e121fe43382a7c15a6104a0e5edfcd1780cf9b513e650abf5c7fd89f298217e7a191c
7584ca89de19420100d8856421ab513dcfedc9785c30a9df3f8de8563907f37bf4df63174e295dd1536739bd28c7b0b522293dc2ec84ebcee5d2492c4581ab06
302e86b4e56835f90cf13bd7716e0679a2a2dbc27e5029d96b5e959cc0326c261d89139bbbbbd7126e72598fe5930cd7079a242f4b496f53c45acd397016b51f
f0f3c00cc5afeab251fc0afb12ddaf688a8980a56ef468fc4aa7d20c4b61f70c4981dbe97fab08a833aa7ae349cba07c8a39660157d66085a62be9e6521df6d3
665ea8002446916a45e1f6e8647bd37edd3485f159898f10d107ae087575abd184a95192d4d8b63ff46744947dfc815f548e7139d909fdf553b3cfb9dbed4d2b
8fa5a44b8f6610879d49bcb58d52f5a2b5eb45b75e19eadfbc7a9bafe7ead2d28fca7a1e1ea55921dc94fd0a5eba9e42604e9f9270731aca4e03340865e106cf
d452eb25b96faedff7ae1444728301eb48371a35577bfdf628d2f4053df550460ab1c273240bf5b8e2eb1b75ceef09193f79e1ffc7ce3e7964c179f8320d1071
53d8ba306327e416e65636c881b13932e0a3018afa1f9541847935fafb4fa05539da1cd3fcd2e6302aa984a6df212dd7ce0eda7980ef1e5bddc79b3fda4ba39b
8bd38e1a3eff0b63fc5af29b258f9dd6b8997c5c7daf387249ea3334a6d540ee1db9c4eac83d0f7dc48559a75380090cde0b4643aaa6d91e9c774accc5dd15bc
6d3ec6f46d1a5bb49861fd5e4f4849e62e716c25591ac2073271223ec857c839eb158f43b891772aa1e3093f08b6ae6ca6ecf260c2197f4dbe100556d937adb4
46f8d4184580ee4758a9a5e51ffcd1248c158c3c47d4ecc11739c8c2fbdd02645f6f0bcc2bf9bdbe2e49cc382d6c8e6569d67d2df6b72511df5404b583aa4bfc
1c93ade7b27221c571caa1d8d1ce4af1aed33a406c4874134242288a21cd140d2e43080b9cb6d9d0bfd7bd3e7b77db4fa92823baa86ec8868872eaf34951a1de
a73ed5a577c9333e163669b463f3a975005fc2f771461ea07c4d93d4d96094ad4796217142d4b3a3f23218df4cae03f936cab9d7d68e8a30ee9ee8689a61ae63
8f31783aed296ced4b9d3b534d4f4c1eaea1fb68de2965c8e656e62136fea4424da915fb4455846151ce3bbd2f0034235cbd2c1262ff486cb049f7f9e7a2db9b
9e1f68d1ef36ffec760851e4c45389edc3877f99a1f07c625c8a56d99027d2d561c85d8d888547ec1479f7c1872160eafea3b5e5aaa9c73a6178d9d232fbfc5f
ea47751cdd4e7220665fd6ebfb0273b69de64f644eb0641f0d57fff6c1c6b92f7c714f59af1ef7349fe7e6f8043ee91696d0a71166fab3a16205ff8ea110d8d5
b4376f066196a3f202b672ff33f321061ad75fe257220237695d16856c3c82408205ecea98b3bf46c0ab1454587a07ba379cd8397cb41fa86285c02cfae266cd
3ea0ae1308dc635489c96efc129e56b9ab2418297103e61865c8d00380bd4481567b1236f730635cc631271362164346827dd2617baf849ea600f28f42e19138
74ef10efc36133039595c7d34a534a1a72a74936445dfe0ccb933a4d90092b1524489aafb25aebf9277b75bef888a420bc4a09edc19f13744de9659a686d4aa7
dd3ed7dda20bea29a500b82cdf37e8056b30064ae95f734559fc17637e7386f7e4b220e450409f021ea1f5b32893daf3d276892217c640741d0ca713972f6d8b
797c4285ab6553dd66ea62f4710f48b819db84797b8d37b0e62314a9a31879a82ce31886fee32a809dd8eed5e3bdf9db9aaa67aef375d77990ae353e29b050b5
a6a7f18635b54f35a1bff4b203fe518c5fd329265e59604df3a01e40875d4376f48a6bf2b545a4563d432e621a76979f5423cc0e9e6f4369a671f73ceffc97e3
62c96430bec9db6e34ce611d778aa10d62aef6e69537376c574e9e9b8094f5e9955c1f6774dfc95c01971637b99722e97ca356e7a12bfb841eb4e0d1475f5409
0a871d8cd9837f96efc7b05c3522a883150ff0dd15c32f1437520bd7301d851343fe8956e5fa96f577fed793c60fe21aca7e0bf5bc027d85d531fb85f94c8f1c
7306b05030908593ed6f76a51a1a47b70015d3473e121e07cc61630536a6999681f99f6013c9fc819bb6e75f0737c2dee28b73ded465ebf0fdd0fe04afb87813
0c26cf90673fd22ac92a636e210be0c479a1d411496f19df56e53a647ca897ec066970adbeb65731610a4b80b869e334a747164bf6ef3275dda19e03b74ea4f1
7a94d291f9bb26c1afea9d7bc34d4949d4122e31b17eb1f8e02288ab9566e087f43992ea5bf0df528e4f69bf989c071cb2f4e5acaf3d55b26c43a2c0645c08b1
1e7f577c329a27b7d3014ef26eeeb0630f91c9eb0aa6436ef354c2be935fa829e82724e315cd131c62d272b392e62f5f17bbb03912d6831cbd320f507b5ca471
b08262f0809bc3253e79574b1071cbda880bff30b7f22eaac984fcb75a799cd9dc414f3bde7dccccf1d7af1ff5737f18b2a82d4b0e83ed5fb89a1c0f12af2fb7
fcce6e34619a830cf656ff5f8859556c0bd5bc8027daf96387bf19e85a83d33739b6f7eeb463a61eb8e898612005b59e1b0c0de40fe2dd5fbcaaddf29db183fe
b38e6e54fe4b32837ad9b32fc112087036e84282cae0f5ef3f3eef529a6166b23e04db480ad7eedd06e5ce21fa76f50807c9f5324593d4b2d63c55dc17ff3cd2
216a4778ecb791aec900f4b944fe852e576876eb03d27fb60c7c60e2c4f5cf24782d2879bb17bd8ba8fe5d3ef5f9fd43c0694669e30ec8e7416ec962d524c2a2
07d53e4f537f4771049911e340a0f0b1169e609a246690730a44ba51e6a59374f3557b958098ddb019b0962b4808f93d7546e0abc28e62e82f5607c45ddcf091
403fe9030847e5e0d9d9f5d84b5641a6dffb124b28a50d8515a9c0886677ab08bc262f1c4301f6d2839f7633bddef7c0dc846d7023e57bc09cf34eb402ae33fa
ab10a47e1dea7ff1a14a95d4482bc390c62ff6cf65c3a57d876a6e840d19195202019716722afc209ebd853807187156bbae52c33107e029a055451cd14da83d
91cd341ffa8ecc6dc4555b16b5158d65b764bcefe01d7dddb61231e2bedba65e1c6f82c0c93f7b870a6abb74e55b231df376cae97b78439818d23e90b1a693da
bafeaab08cbd65aa11019f5eadc693e2e68d67688b947aa780648507369fbb97d54903296b1c774d30cf91dd6fb2e9d139007b4475ea771a03f8feb2ff513e8d
93e40f57fc91267d4dc1bedae1c4b4c5f752f7b23587901dfffcf46d1641fe7bec05ab123846db7b9a1cdb7ffff018ccc43e47e140f4d42f037606ade33765a1
a6468ff4395a4708dfc0dc246342adc6fe3abf3b4dcc211a80b77d7b2cac750f98258fb5e88e68a1679b11998f78f6ba78f5418939f469531bf9271db62ed065
7842a49e0a18360b19717a2c565ae82e37da21e247fece73c27bc429d6a5596c2ca5065afc2fd8ef7b73c145794c426cee09a32bd4a17e5183163977cd76f243
f38c3b9c264c8fe1db4001b18ad99ad723ee5ad4433ba3878b2f592a0f8d003c254c3ff256635f6a90c8a2f76c9457587fcb0d7c72bb4f5f9af61f3b26403406
359361e9c8ef8fd28543f9cfcad2fcbaf73b0bf6c39fbadf63b99b83f234e9a2b9683e4e2e05bbf5f73cce67bf0e49667b0b3b03ec5f4332c983d817d97f81f0
4706d183564ec842a083660157cd846cd8acbb356c648e9f6d6f68d4fae358cfae7c8daf81078c3c74841eabafd14d7985822dff4e511e602ee2090059228b93
97c63a9465064d8b07f157a5df2c4f4a44ef038fabfe7e888b218941fdb493a9f6d31c3c2fa3595f761f7fbfa670b7c0a982c7f1dda01cffd759811053ad4910
5f3fb74a27b8dcd2c99b9e1c8f41ec4090eb4496973396b78fef84d3918e7e42a701e3b500ade47b79e333c87bf7f24547398d91483b5461e28e45cc3573f1dc
38f24fc21b4fc5bc21f1a1a43f62df87bb86e336756de042169c3f244622df5ed0737fa48fb3f83384cd5a1c63dd887cdf085d84e43f46dda35c7d5be488f841
8c59cc3eba3539e9e227adfb7ddc370220ce1eac764e762248988ffa159f3b2751cfb690d7c363a8101a88282436f1887ffb074741eeeffd70df4a165cfa254f
e9bb767955a9b5123fcecee6ce9a547e717bc73032b5203976c4444c097eae04a8d59e990f35a4e24149ae1b363af5b362b5d79ea592becf68059b3e666a5da4
4464deec00757cfbb31d738d8e4ef2680affd4ae07ab597cbcc596d5e614f1fee3659e7317850ac1f0488129ff6a5f8af5da1b5b6cde4323b6ffbaf16db6fe68
2aaaae8afb9481312ba249be7167f142685c0f89ad9d67bc6d5491df21adf44d94698d4daa6e2f60a7960f067f57532a3f018bd07c2dcd301ae1a74466c0fd37
3ea4ee398adf4c95f1cf1975a17a9344895489167e138a0e1ae2da6aa9352be972478c42ddc36bc87cd977cb62fe522e0b0f5e69d51b016e2fa8e213b8eb41db
252bbeb80b91c144be9f9aa1ec4720f4da83936e1e13923ca2c845e04ebddbd91bf25c3f3e1a4c65e9e186ea3946c282a0d745d20e35ee55c9feff8a0158509c
9b4323da3072eb5896c82df4e9dac60885cd81252591c6b25d240ac54c4aa3cd34f7f3e5aeebf6fc8823645ede8e1aad54981e9c82bbeecd44e89c975f8b71ad
9add5b892484f11d2667ac6176d56edc8151941793b826f08c70e922d5bff8bc3258929ba17dc9338ea7286a16575bb5ca542b67c427a1262d9eb542cfb8848c
64675c11d87981decb5aaf5ad72ddb81497377a8f992fdfb500815bfe9225c3c3767fa72489eda8b1e5ef3b9f9063a401c4ff233955a06bf915cd92aa5789faa
fafa9a09c54a4058f9ba560fe9be582fd5a2f50255ceb76a6ab515aaaf6312b3aa3dbf26fdf637f41bf9a9c398032a42e22c5bed4ec18532ed7e5b598cf2f1b9
c0174be9a895ee6962ef20f226b08351c1797f34026dfd52a913bed3c353df5f483edc6d4c6bf917857089782ba5eb4f01dd84f972f09b4459e6f58f68578ba3
9bf785d95b053f5059724b9106c52e42f53d5e8adf1d004e7f8654266052c62af5c7876d37fd645403263c69e56a9fb0d4bd883f429c67001b51f802c281143d
57cfc7c7a5192fea0604eea8246dba832d0bcbfe5691ba3e1a7e1ac9cfadf2bf5d73b24406065b82e7a9ffcc41671a461a54aae67ce58b192f5f3831ab3a7a46
ca86076480456670fa2c088e3cf1e63d94177c7cfb30448edeb26ee3e3f35d9dc6939f7f4b553f93a5a5243131140d97a0695980e8637dd7f322459d104855d9
31b276b5cddd68f92275075f0ba264c77ff32efefd42ed19f2d0f858b0513768a5fbf200cfa9e2d334278f5708178415fb80885b00ff866cc7edc8db9b26385e
2addec83ea452e0e92d63b17cb110201810182b6e5b03c59a2cebce47f3df59c8a531da21caff4815590d5a08b2d51338f371915d51aa7cf8a0673fbceafb5f5
eac49e4a09bd5729ab228f375b0717b87bcb859f9aad646bfccaf5549d599ecf96667644fdc45a02b969bfa728b0ea1c1aad8f7e8c4839501efa2e5bd21394bd
919b7f5080575df274a6f542ceb2b47c8dd0b44f06d1f4497b15d5768e6b619a81a482ab877f0b333ad1ad97361505269b50f24bc4682deb5ffefa5850642209
4fcadead5e119d51e2ad9ba2ad87f9a8d9db1407da762e43fcd6b147d502e7a3f338efda58d19cacf17e65723ed6c3ca7f7c1da020bdb28f5f1584bd28cac3e0
93c78bb4ab354996ffd55b6c542ea065d8f70f3b371819c7a864f9d1b945c220b18eafa421d60505b341491f309f7a241ee1f092d7d0e058a40e089099de30d0
c128bcf66a7822323da564f74962b4a25ee874eda86205271242077f02c964645c228f96ab91faaff77ad5d50cd1660c7cb2a59ad4841cf91206f76100d7136a
59f4221c44112e9e83432cda0686cf39dbf016ffe97987265cbaba162d60a84caf9dc3f1e10d17106774220855db6c1b0db1f3d314496dbf4ac2da4af74ed77d
f9c33ec5e443c7947ce536d4f1cbdc6cb42d81daaf62fc0c4b8df954c5d9c7e05e22c1732127df2d56711ee79f8c3fabcf896a0da29a5bc3cf6447eac7abf5b3
e4c36413f83f59405376413bc88812c172bc75976abc401a352b283aaac361a06e4b993f417f0934c19ea408ab8cfe861d2db00cd37849b05868873a628f36e9
678df698192514913e561e9da800788e843ef0c9ae85919476448561ac8a449aff0ed44e57980eeb4c0837da57bea7830650779a533b7e29953f14f57dc9edb1
be2eb73089d3a6a713bad6f0d7e1ebf55c360958666eafde7f5018dbff6548f3511f5f3f85c6823db47645738450ec6d36372390422fb20de1d0e76a50d355e2
8bf42df278de75cea798b4099d447f0286188f1d998bf71be5c755c9b5fe8f1ced8ceb6f4a8e6ff720398de07b993c7c04f4ffd3084df346b07df102dadc66b4
8d8bfe79e3cfd7d829c951d33a511fcb783b162fdfbfa5f2829e2e037d91fba013919c7bcd7a7c883e86e8bf4a5aa85d0f0235f2b3a057189d56a7f8ed3108fa
e9ae5525aaa640fd7f230fb4257de8c7fa70368295fa347b2e35168b0787179d6b6c8ddae8e7bfb8fb7e85fcdb9f3d1402bf93ecaa5ddc1fa7e6678ad41ed04e
4f2c8dbf0029778a97e60d
[TRUNCATED — full question (67175 chars) is in samples.jsonl]</t>
        </is>
      </c>
      <c r="L16" s="6" t="inlineStr">
        <is>
          <t>[25, 30, 32, 89, 95, 104, 114, 142, 223, 228, 238, 250, 281, 432, 558, 604, 654, 692]</t>
        </is>
      </c>
    </row>
    <row r="17">
      <c r="A17" s="2" t="inlineStr">
        <is>
          <t>2311.15057</t>
        </is>
      </c>
      <c r="B17" s="2" t="inlineStr">
        <is>
          <t>On Layered Area-Proportional Rectangle Contact Representations</t>
        </is>
      </c>
      <c r="C17" s="2" t="inlineStr">
        <is>
          <t>geometric configurations</t>
        </is>
      </c>
      <c r="D17" s="3" t="inlineStr">
        <is>
          <t>https://arxiv.org/abs/2311.15057</t>
        </is>
      </c>
      <c r="E17" s="2" t="inlineStr">
        <is>
          <t>standard</t>
        </is>
      </c>
      <c r="F17" s="2" t="inlineStr">
        <is>
          <t>{"n": 14, "layer_ratio": 1.0, "max_width": 3, "canvas_factor": 14, "plant_span_factor": 4, "plant_trials": 32}</t>
        </is>
      </c>
      <c r="G17" s="4" t="inlineStr">
        <is>
          <t>yes</t>
        </is>
      </c>
      <c r="H17" s="5" t="n">
        <v>4552</v>
      </c>
      <c r="I17" s="2" t="inlineStr"/>
      <c r="J17" s="5" t="n">
        <v>287</v>
      </c>
      <c r="K17" s="6" t="inlineStr">
        <is>
          <t>INTEGER LAYERED RECTANGLE CONTACT WITNESS
There are unit-height, axis-aligned rectangles on fixed horizontal layers.
Rectangle v(i,j) is on layer i at fixed left-to-right position j, has the
listed positive integer width, and must be assigned an integer left x-coordinate
x[i][j]. All indices are 0-based. Coordinates must satisfy 0 &lt;= x[i][j] and
x[i][j] + width[i][j] &lt;= B. On one layer, rectangles must occur in the
listed order and their interiors may not overlap: x[i][j]+width[i][j] &lt;=
x[i][j+1]. Equality is allowed and is a horizontal contact. Gaps are allowed.
Rectangles on adjacent layers have a vertical contact exactly when their closed
x-intervals overlap in a segment of POSITIVE length. Endpoint-only intersection
has length zero and is not a contact. A horizontal contact exists exactly at
equality for consecutive rectangles on one layer. A contact is permitted only
when its pair appears in the corresponding edge list below; any other contact is
a forbidden false adjacency. Listed edges need not all be realized.
Find coordinates that form a valid representation with at least k realized
listed edges. Each contact counts once. The required answer is one JSON outer
array in layer order, containing exactly one inner array of exactly n integer
left coordinates per layer, in the fixed rectangle order. Repeats are not
allowed because widths are positive; the coordinate order is not permutable.
L = 14
n = 14
B = 196  (right boundary is inclusive for rectangle endpoints)
k = 217
WIDTHS
layer 0: 3 1 1 3 2 1 1 1 3 1 3 3 3 1
layer 1: 3 2 1 1 1 1 1 3 3 1 3 1 3 3
layer 2: 3 3 2 1 2 3 2 1 1 3 2 2 2 1
layer 3: 1 2 1 1 2 1 2 2 3 2 1 3 2 3
layer 4: 1 2 1 3 2 3 3 2 3 1 3 1 1 3
layer 5: 1 2 1 1 1 2 2 2 3 2 1 2 2 1
layer 6: 3 2 3 3 3 1 3 3 1 3 3 1 1 2
layer 7: 2 2 3 3 3 1 3 2 1 1 1 2 2 2
layer 8: 1 1 3 3 2 1 3 2 2 3 2 1 2 1
layer 9: 1 3 3 3 2 3 3 2 3 2 2 1 1 3
layer 10: 2 1 1 1 1 3 1 3 2 3 1 2 2 3
layer 11: 2 3 2 3 1 3 3 1 3 3 2 3 2 1
layer 12: 2 2 1 2 1 3 3 2 3 1 3 1 3 2
layer 13: 3 3 3 1 1 2 1 3 3 1 3 2 2 1
HORIZONTAL EDGES
layer 0: 1-2 4-5 8-9 9-10 10-11 12-13
layer 1: 2-3 3-4 4-5 5-6 7-8 9-10 12-13
layer 2: 2-3 3-4 4-5 8-9 9-10
layer 3: 2-3 5-6 7-8 9-10 12-13
layer 4: 0-1 4-5 6-7 8-9 10-11
layer 5: 3-4 6-7 7-8 9-10 12-13
layer 6: 1-2 9-10
layer 7: 5-6 6-7 10-11 12-13
layer 8: 1-2 2-3 4-5 7-8 8-9 10-11 11-12 12-13
layer 9: 1-2 5-6 10-11 11-12
layer 10: 1-2 2-3 3-4 6-7 7-8 10-11 11-12 12-13
layer 11: 0-1 2-3 3-4 11-12 12-13
layer 12: 1-2 3-4 4-5 10-11 11-12 12-13
layer 13: 2-3 4-5 8-9 10-11 11-12 12-13
VERTICAL EDGES
layers 0/1: 0-0 0-1 0-2 1-2 2-2 2-3 2-4 2-5 3-5 3-6 4-6 5-6 5-7 6-7 6-8 6-9 7-9 8-9 8-10 9-10 10-10 10-11 10-12 11-12 12-12 12-13 13-13
layers 1/2: 0-0 0-1 1-1 2-1 2-2 3-2 4-2 5-2 5-3 6-3 7-3 7-4 7-5 7-6 8-6 8-7 8-8 9-8 9-9 10-9 10-10 10-11 11-11 11-12 12-12 12-13 13-13
layers 2/3: 0-0 0-1 1-1 1-2 2-2 2-3 3-3 4-3 5-3 5-4 6-4 6-5 7-5 7-6 8-6 8-7 8-8 9-8 10-8 10-9 10-10 11-10 12-10 12-11 13-11 13-12 13-13
layers 3/4: 0-0 0-1 1-1 2-1 2-2 2-3 2-4 2-5 3-5 4-5 5-5 5-6 6-6 7-6 8-6 8-7 8-8 9-8 10-8 11-8 11-9 11-10 11-11 12-11 13-11 13-12 13-13
layers 4/5: 0-0 1-0 1-1 1-2 1-3 2-3 2-4 2-5 3-5 4-5 5-5 6-5 6-6 6-7 7-7 7-8 7-9 8-9 8-10 9-10 10-10 10-11 11-11 12-11 13-11 13-12 13-13
layers 5/6: 0-0 1-0 1-1 2-1 2-2 3-2 4-2 4-3 5-3 5-4 6-4 6-5 6-6 7-6 7-7 8-7 8-8 9-8 9-9 10-9 10-10 11-10 12-10 12-11 13-11 13-12 13-13
layers 6/7: 0-0 1-0 1-1 2-1 2-2 3-2 4-2 4-3 4-4 5-4 6-4 7-4 7-5 7-6 7-7 8-7 9-7 9-8 9-9 10-9 11-9 11-10 12-10 12-11 13-11 13-12 13-13
layers 7/8: 0-0 1-0 1-1 1-2 2-2 2-3 3-3 3-4 4-4 4-5 4-6 5-6 6-6 6-7 7-7 8-7 9-7 9-8 10-8 10-9 11-9 11-10 12-10 12-11 12-12 12-13 13-13
layers 8/9: 0-0 1-0 1-1 1-2 1-3 2-3 3-3 4-3 4-4 4-5 5-5 5-6 6-6 6-7 6-8 6-9 7-9 8-9 8-10 9-10 10-10 10-11 10-12 11-12 12-12 12-13 13-13
layers 9/10: 0-0 1-0 2-0 2-1 3-1 3-2 3-3 3-4 4-4 4-5 5-5 6-5 6-6 6-7 7-7 7-8 8-8 8-9 9-9 10-9 10-10 10-11 11-11 11-12 12-12 13-12 13-13
layers 10/11: 0-0 0-1 1-1 2-1 3-1 3-2 4-2 4-3 4-4 4-5 5-5 5-6 5-7 5-8 5-9 6-9 7-9 7-10 8-10 9-10 9-11 9-12 10-12 11-12 11-13 12-13 13-13
layers 11/12: 0-0 1-0 1-1 2-1 2-2 3-2 4-2 4-3 4-4 5-4 6-4 7-4 7-5 7-6 8-6 8-7 9-7 9-8 10-8 10-9 10-10 11-10 12-10 13-10 13-11 13-12 13-13
layers 12/13: 0-0 1-0 1-1 2-1 3-1 4-1 5-1 5-2 5-3 5-4 6-4 6-5 6-6 7-6 7-7 8-7 8-8 9-8 9-9 10-9 10-10 11-10 11-11 12-11 12-12 13-12 13-13
Give your final answer inside &lt;answer&gt;&lt;/answer&gt; tags, as the JSON array
specified above (with the actual L rows and n entries per row).
Example syntax only: &lt;answer&gt;[[0,2,5],[1,4,8]]&lt;/answer&gt;
Output nothing else inside the tags.</t>
        </is>
      </c>
      <c r="L17" s="6" t="inlineStr">
        <is>
          <t>[[70, 75, 76, 85, 89, 91, 96, 104, 110, 113, 114, 117, 121, 124], [71, 79, 82, 83, 84, 85, 86, 95, 98, 106, 107, 116, 119, 122], [69, 75, 84, 86, 87, 89, 94, 98, 104, 105, 108, 112, 115, 121], [71, 75, 84, 85, 90, 95, 96, 99, 101, 108, 110, 114, 118, 120], [71, 72, 79, 82, 86, 88, 99, 102, 108, 111, 113, 116, 120, 122], [72, 74, 77, 79, 80, 88, 98, 100, 102, 107, 109, 115, 122, 124], [69, 76, 78, 82, 87, 92, 96, 100, 104, 107, 110, 114, 117, 120], [74, 77, 81, 89, 95, 100, 101, 104, 108, 113, 116, 117, 121, 123], [71, 78, 79, 82, 94, 96, 98, 110, 112, 114, 118, 120, 121, 123], [69, 72, 75, 79, 86, 94, 97, 104, 107, 111, 117, 119, 120, 122], [69, 83, 84, 85, 86, 96, 101, 102, 105, 109, 116, 117, 119, 121], [69, 71, 75, 77, 80, 86, 90, 94, 96, 101, 109, 113, 116, 118], [72, 75, 77, 80, 82, 83, 93, 97, 103, 109, 115, 118, 119, 122], [71, 76, 84, 87, 94, 95, 99, 102, 106, 109, 115, 118, 120, 122]]</t>
        </is>
      </c>
    </row>
    <row r="18">
      <c r="A18" s="2" t="inlineStr">
        <is>
          <t>2411.04916</t>
        </is>
      </c>
      <c r="B18" s="2" t="inlineStr">
        <is>
          <t>Improved kissing numbers in seventeen through twenty-one dimensions</t>
        </is>
      </c>
      <c r="C18" s="2" t="inlineStr">
        <is>
          <t>geometric configurations</t>
        </is>
      </c>
      <c r="D18" s="3" t="inlineStr">
        <is>
          <t>https://arxiv.org/abs/2411.04916</t>
        </is>
      </c>
      <c r="E18" s="2" t="inlineStr">
        <is>
          <t>medium</t>
        </is>
      </c>
      <c r="F18" s="2" t="inlineStr">
        <is>
          <t>{"n": 108, "degree": 5, "mix_factor": 40}</t>
        </is>
      </c>
      <c r="G18" s="4" t="inlineStr">
        <is>
          <t>yes</t>
        </is>
      </c>
      <c r="H18" s="5" t="n">
        <v>3623</v>
      </c>
      <c r="I18" s="2" t="inlineStr"/>
      <c r="J18" s="5" t="n">
        <v>52</v>
      </c>
      <c r="K18" s="6" t="inlineStr">
        <is>
          <t xml:space="preserve">Find a kissing subconfiguration in the following finite pool.
A kissing configuration is a set of unit vectors in Euclidean space such that
the inner product of every two distinct selected vectors is at most 1/2.
There are 108 vertex groups, numbered 0 through 107.  Group v contains the
three candidate centers with IDs 3*v, 3*v+1, and 3*v+2; their local colours are
0, 1, and 2 respectively.  IDs and vertices are 0-indexed.  You must select
exactly one candidate from every group, hence exactly 108 distinct candidates.
The output IDs must be in strictly increasing order.  Order otherwise has no
mathematical significance, and repetitions are forbidden.
Here is the exact coordinate definition.  Make a conflict graph on all 324
candidate IDs.  Two candidates conflict exactly when either:
  (a) they are different candidates in the same vertex group; or
  (b) they have the same local colour and their vertex pair is in BASE_EDGES.
Every candidate has conflict degree D=7.  Give the ambient space D common
coordinates C_0,...,C_(D-1), followed by one coordinate Q_e for every unordered
conflict-graph edge e.  For candidate i, let z_i be the 0/1 vector that is 1 in
all D common coordinates and in Q_e exactly when e is incident with i, and 0
elsewhere.  Define the actual center x_i = z_i/sqrt(2*D).
Thus ||x_i||=1 exactly.  For distinct candidates i,j, direct substitution gives
&lt;x_i,x_j&gt;=(D+1)/(2*D)&gt;1/2 if they conflict, and exactly 1/2 otherwise.  Therefore
the requested IDs are precisely a pairwise nonconflicting selection.  You may
use either this inner-product definition or the equivalent conflict rules.
All unordered base-graph edges follow, one "u v" pair per line.  Edges are
inclusive data; a pair not listed is not a base edge.
BASE_EDGES
0 4
0 17
0 77
0 81
0 85
1 33
1 72
1 76
1 92
1 96
2 10
2 21
2 56
2 90
2 95
3 13
3 42
3 57
3 64
3 71
4 22
4 26
4 49
4 75
5 10
5 15
5 24
5 26
5 48
6 43
6 52
6 62
6 69
6 104
7 70
7 73
7 76
7 77
7 89
8 15
8 38
8 65
8 91
8 95
9 35
9 36
9 58
9 65
9 68
10 60
10 63
10 100
11 16
11 33
11 36
11 64
11 87
12 20
12 43
12 55
12 80
12 97
13 14
13 25
13 44
13 78
14 44
14 82
14 90
14 99
15 18
15 32
15 94
16 71
16 88
16 97
16 104
17 37
17 39
17 40
17 106
18 30
18 37
18 87
18 88
19 25
19 57
19 68
19 79
19 97
20 42
20 46
20 54
20 79
21 61
21 82
21 91
21 98
22 37
22 50
22 68
22 93
23 55
23 66
23 67
23 68
23 75
24 30
24 32
24 46
24 61
25 28
25 52
25 103
26 87
26 91
26 94
27 29
27 38
27 55
27 71
27 79
28 36
28 39
28 60
28 90
29 70
29 79
29 82
29 91
30 41
30 51
30 102
31 34
31 85
31 95
31 96
31 97
32 60
32 71
32 86
33 59
33 71
33 93
34 51
34 66
34 85
34 93
35 39
35 46
35 74
35 80
36 81
36 105
37 48
37 90
38 54
38 84
38 99
39 54
39 64
40 53
40 66
40 81
40 106
41 56
41 78
41 86
41 102
42 49
42 86
42 98
43 80
43 82
43 98
44 65
44 87
44 103
45 50
45 82
45 84
45 85
45 94
46 73
46 77
47 49
47 66
47 84
47 96
47 103
48 59
48 61
48 98
49 95
49 104
50 57
50 78
50 94
51 60
51 83
51 107
52 78
52 84
52 107
53 63
53 81
53 93
53 96
54 67
54 77
55 98
55 102
56 61
56 90
56 101
57 81
57 93
58 73
58 74
58 84
58 101
59 72
59 76
59 79
60 105
61 63
62 64
62 75
62 100
62 103
63 67
63 100
64 83
65 75
65 76
66 92
67 100
67 102
68 106
69 74
69 78
69 94
69 103
70 72
70 83
70 92
72 88
72 89
73 86
73 100
74 76
74 86
75 80
77 105
80 97
83 85
83 88
87 96
88 89
89 92
89 106
91 107
92 104
95 105
99 101
99 105
99 106
101 104
101 107
102 107
END_BASE_EDGES
Give your final answer inside &lt;answer&gt;&lt;/answer&gt; tags, as exactly 108
comma-separated integer candidate IDs in strictly increasing order.
Example of the required syntax: &lt;answer&gt;0, 4, 8&lt;/answer&gt;
Output nothing else inside the tags.
</t>
        </is>
      </c>
      <c r="L18" s="6" t="inlineStr">
        <is>
          <t>[1, 3, 6, 10, 14, 15, 19, 22, 26, 27, 32, 35, 36, 39, 43, 46, 49, 53, 56, 58, 61, 64, 67, 70, 74, 77, 79, 81, 84, 88, 91, 93, 96, 100, 103, 107, 109, 111, 115, 118, 121, 125, 128, 131, 134, 136, 138, 142, 145, 147, 152, 153, 156, 159, 162, 167, 169, 171, 175, 177, 181, 183, 188, 190, 192, 196, 200, 203, 206, 209, 210, 215, 217, 221, 222, 225, 230, 233, 235, 239, 241, 245, 246, 250, 254, 257, 259, 261, 264, 269, 272, 273, 277, 281, 282, 286, 290, 293, 294, 299, 300, 303, 306, 309, 314, 315, 318, 323]</t>
        </is>
      </c>
    </row>
    <row r="19">
      <c r="A19" s="2" t="inlineStr">
        <is>
          <t>2001.09362</t>
        </is>
      </c>
      <c r="B19" s="2" t="inlineStr">
        <is>
          <t>$S$-packing chromatic vertex-critical graphs</t>
        </is>
      </c>
      <c r="C19" s="2" t="inlineStr">
        <is>
          <t>graph structures</t>
        </is>
      </c>
      <c r="D19" s="3" t="inlineStr">
        <is>
          <t>https://arxiv.org/abs/2001.09362</t>
        </is>
      </c>
      <c r="E19" s="2" t="inlineStr">
        <is>
          <t>medium</t>
        </is>
      </c>
      <c r="F19" s="2" t="inlineStr">
        <is>
          <t>{"n": 22, "clue_density": 0.4, "filter_nodes": 100000, "attack_filter": true}</t>
        </is>
      </c>
      <c r="G19" s="4" t="inlineStr">
        <is>
          <t>yes</t>
        </is>
      </c>
      <c r="H19" s="5" t="n">
        <v>4488</v>
      </c>
      <c r="I19" s="2" t="inlineStr"/>
      <c r="J19" s="5" t="n">
        <v>680</v>
      </c>
      <c r="K19" s="6" t="inlineStr">
        <is>
          <t>S-packing coloring of a compactly defined graph
There are q = 22 available color labels: the integers 1 through 22.
Use the S-packing sequence S = (1, 1, 1, 1, 1, 1, 1, 1, 1, 1, 1, 1, 1, 1, 1, 1, 1, 1, 1, 1, 1, 1).  An S-packing
coloring assigns one color label to every vertex, and two distinct vertices
with the same label must have graph distance strictly greater than 1.  Thus,
for this S, adjacent vertices must have different labels (ordinary proper
vertex coloring).
The undirected graph has these vertices:
  * anchors A[0], ..., A[21];
  * cells C[r,c] for 0 &lt;= r &lt; 22 and 0 &lt;= c &lt; 22.
All indices are 0-based.  Its edges are exactly the following; there are no
others:
  1. Every two distinct anchors are adjacent.
  2. Two distinct cells are adjacent exactly when they share a row or share a
     column: C[r,c]--C[r,d] for c != d, and C[r,c]--C[t,c] for r != t.
  3. For every clue (r,c)=s below, C[r,c] is adjacent to every anchor A[t]
     with t != s, and is not adjacent to A[s].
Clues (each s is an anchor INDEX, not an output color label):
  (0,0) = 3
  (0,2) = 8
  (0,3) = 11
  (0,5) = 6
  (0,9) = 20
  (0,11) = 12
  (0,12) = 2
  (0,14) = 4
  (0,15) = 14
  (0,16) = 21
  (0,18) = 10
  (0,19) = 19
  (1,0) = 12
  (1,1) = 16
  (1,6) = 7
  (1,7) = 5
  (1,11) = 13
  (1,12) = 14
  (2,0) = 1
  (2,3) = 21
  (2,6) = 8
  (2,8) = 12
  (2,11) = 15
  (2,13) = 17
  (2,14) = 19
  (2,15) = 11
  (2,16) = 14
  (3,0) = 16
  (3,1) = 11
  (3,3) = 12
  (3,7) = 15
  (3,10) = 6
  (3,12) = 19
  (3,13) = 14
  (3,18) = 5
  (4,1) = 18
  (4,4) = 21
  (4,7) = 9
  (4,9) = 16
  (4,10) = 19
  (4,11) = 3
  (4,14) = 0
  (4,15) = 7
  (4,17) = 12
  (4,18) = 6
  (4,19) = 14
  (4,20) = 10
  (5,0) = 6
  (5,9) = 10
  (5,11) = 9
  (5,20) = 14
  (6,0) = 10
  (6,7) = 16
  (6,11) = 1
  (6,12) = 15
  (6,15) = 21
  (6,16) = 4
  (6,21) = 13
  (7,0) = 18
  (7,3) = 8
  (7,4) = 11
  (7,5) = 9
  (7,7) = 7
  (7,8) = 17
  (7,10) = 21
  (7,11) = 0
  (7,13) = 19
  (7,15) = 6
  (7,16) = 10
  (7,17) = 3
  (7,19) = 20
  (7,20) = 2
  (8,3) = 6
  (8,5) = 13
  (8,14) = 2
  (8,15) = 10
  (8,16) = 16
  (9,0) = 9
  (9,1) = 7
  (9,4) = 4
  (9,13) = 15
  (9,14) = 10
  (9,20) = 21
  (10,7) = 19
  (10,11) = 10
  (10,15) = 2
  (10,16) = 13
  (10,18) = 16
  (10,19) = 9
  (11,0) = 19
  (11,3) = 18
  (11,4) = 20
  (11,5) = 5
  (11,10) = 7
  (11,12) = 13
  (11,14) = 3
  (11,17) = 0
  (12,0) = 0
  (12,2) = 9
  (12,3) = 20
  (12,4) = 6
  (12,5) = 16
  (12,6) = 3
  (12,9) = 12
  (12,10) = 10
  (12,17) = 18
  (12,20) = 19
  (13,0) = 11
  (13,2) = 17
  (13,3) = 7
  (13,5) = 19
  (13,6) = 2
  (13,8) = 14
  (13,9) = 15
  (13,11) = 8
  (13,18) = 20
  (13,20) = 5
  (14,1) = 5
  (14,2) = 12
  (14,3) = 1
  (14,4) = 16
  (14,5) = 8
  (14,6) = 10
  (14,7) = 14
  (14,11) = 6
  (14,12) = 9
  (14,13) = 11
  (14,14) = 15
  (14,15) = 3
  (14,18) = 19
  (14,19) = 13
  (15,0) = 21
  (15,7) = 20
  (15,9) = 9
  (15,14) = 6
  (15,17) = 1
  (15,20) = 15
  (15,21) = 0
  (16,0) = 7
  (16,1) = 20
  (16,9) = 13
  (16,10) = 11
  (16,15) = 0
  (16,16) = 15
  (16,18) = 17
  (16,19) = 5
  (16,21) = 9
  (17,3) = 14
  (17,4) = 3
  (17,6) = 16
  (17,7) = 18
  (17,10) = 0
  (17,11) = 21
  (17,17) = 20
  (17,18) = 15
  (17,20) = 1
  (17,21) = 17
  (18,0) = 2
  (18,2) = 10
  (18,7) = 21
  (18,8) = 5
  (18,9) = 1
  (18,10) = 8
  (18,11) = 11
  (18,13) = 3
  (18,16) = 7
  (18,17) = 9
  (18,18) = 4
  (18,20) = 18
  (19,2) = 3
  (19,6) = 6
  (19,7) = 12
  (19,10) = 4
  (19,11) = 2
  (19,12) = 8
  (19,14) = 11
  (19,16) = 20
  (19,17) = 14
  (19,21) = 18
  (20,1) = 14
  (20,2) = 16
  (20,4) = 15
  (20,10) = 5
  (20,12) = 6
  (20,14) = 17
  (20,15) = 9
  (20,16) = 19
  (20,20) = 12
  (21,4) = 13
  (21,12) = 10
  (21,13) = 6
  (21,14) = 9
  (21,17) = 8
  (21,18) = 21
Find any proper coloring of all vertices.  The anchor clique necessarily uses
all 22 output labels, and a clue (r,c)=s consequently forces C[r,c] to have
the same output label as A[s].  Output labels may be globally permuted; any
valid coloring is accepted.
Your answer must contain exactly 506 comma-separated base-10 integers, in
this order: A[0] through A[21], then all cells in row-major order
C[0,0], C[0,1], ..., C[21,21].  Order matters.  Every integer must
be in the inclusive range 1..22; repeats are allowed unless an edge forbids
them.
Give your final answer inside &lt;answer&gt;&lt;/answer&gt; tags, as one comma-separated
list.  Syntax example: &lt;answer&gt;1, 2, 3&lt;/answer&gt; (your actual list must contain
exactly 506 integers).  Output nothing else inside the tags.</t>
        </is>
      </c>
      <c r="L19" s="6" t="inlineStr">
        <is>
          <t>[6, 1, 7, 15, 4, 20, 21, 19, 18, 17, 8, 5, 2, 9, 16, 14, 22, 13, 12, 11, 10, 3, 15, 17, 18, 5, 19, 21, 12, 6, 22, 10, 1, 2, 7, 9, 4, 16, 3, 20, 8, 11, 13, 14, 2, 22, 14, 13, 1, 6, 19, 20, 4, 7, 10, 9, 16, 8, 12, 18, 21, 5, 17, 3, 15, 11, 1, 6, 20, 3, 7, 12, 18, 21, 2, 19, 9, 14, 10, 13, 11, 5, 16, 22, 15, 4, 17, 8, 22, 5, 7, 2, 8, 4, 17, 14, 15, 13, 21, 10, 11, 16, 1, 9, 12, 19, 20, 18, 6, 3, 18, 12, 5, 9, 3, 14, 20, 17, 1, 22, 11, 15, 13, 4, 6, 19, 7, 2, 21, 16, 8, 10, 21, 18, 3, 11, 2, 15, 4, 9, 10, 8, 7, 17, 12, 19, 20, 13, 1, 14, 6, 5, 16, 22, 8, 21, 6, 17, 20, 16, 11, 22, 18, 5, 15, 1, 14, 10, 2, 3, 4, 13, 12, 7, 19, 9, 12, 4, 9, 18, 5, 17, 14, 19, 13, 16, 3, 6, 1, 11, 22, 21, 8, 15, 2, 10, 7, 20, 20, 14, 10, 21, 13, 9, 3, 5, 17, 15, 2, 11, 6, 12, 7, 8, 22, 4, 1, 19, 18, 16, 17, 19, 16, 15, 4, 7, 13, 1, 6, 21, 12, 20, 2, 14, 8, 10, 18, 11, 9, 22, 3, 5, 14, 15, 21, 6, 18, 13, 2, 11, 19, 12, 16, 8, 4, 20, 10, 7, 9, 3, 22, 17, 5, 1, 11, 3, 4, 12, 10, 20, 5, 7, 8, 18, 19, 22, 9, 17, 15, 1, 13, 6, 16, 14, 21, 2, 6, 9, 17, 10, 21, 22, 15, 4, 3, 2, 8, 16, 5, 1, 19, 14, 20, 12, 7, 13, 11, 18, 5, 1, 13, 19, 6, 11, 7, 8, 16, 14, 17, 18, 15, 22, 3, 12, 2, 9, 10, 21, 20, 4, 10, 20, 2, 1, 22, 18, 8, 16, 12, 3, 13, 21, 17, 5, 14, 15, 6, 7, 11, 9, 4, 19, 3, 7, 12, 20, 16, 8, 9, 10, 11, 17, 22, 13, 19, 2, 21, 4, 5, 1, 18, 15, 14, 6, 19, 10, 11, 8, 12, 2, 1, 15, 7, 9, 5, 4, 3, 18, 16, 6, 14, 21, 13, 20, 22, 17, 9, 2, 19, 16, 15, 5, 22, 12, 21, 4, 6, 3, 20, 7, 18, 11, 17, 10, 14, 8, 1, 13, 7, 13, 8, 14, 11, 10, 16, 3, 20, 1, 18, 5, 22, 15, 9, 2, 19, 17, 4, 6, 12, 21, 13, 8, 15, 22, 17, 3, 21, 2, 14, 11, 4, 7, 18, 6, 5, 20, 10, 16, 19, 1, 9, 12, 4, 16, 22, 7, 14, 1, 10, 18, 9, 6, 20, 19, 21, 3, 13, 17, 11, 8, 5, 12, 2, 15, 16, 11, 1, 4, 9, 19, 6, 13, 5, 20, 14, 12, 8, 21, 17, 22, 15, 18, 3, 2, 10, 7]</t>
        </is>
      </c>
    </row>
    <row r="20">
      <c r="A20" s="2" t="inlineStr">
        <is>
          <t>2007.09736</t>
        </is>
      </c>
      <c r="B20" s="2" t="inlineStr">
        <is>
          <t>Total coloring and efficient domination applications to non-Cayley non-Schreier vertex-transitive graphs</t>
        </is>
      </c>
      <c r="C20" s="2" t="inlineStr">
        <is>
          <t>graph structures</t>
        </is>
      </c>
      <c r="D20" s="3" t="inlineStr">
        <is>
          <t>https://arxiv.org/abs/2007.09736</t>
        </is>
      </c>
      <c r="E20" s="2" t="inlineStr">
        <is>
          <t>medium</t>
        </is>
      </c>
      <c r="F20" s="2" t="inlineStr">
        <is>
          <t>{"n": 40, "q": 6}</t>
        </is>
      </c>
      <c r="G20" s="4" t="inlineStr">
        <is>
          <t>yes</t>
        </is>
      </c>
      <c r="H20" s="5" t="n">
        <v>5550</v>
      </c>
      <c r="I20" s="2" t="inlineStr"/>
      <c r="J20" s="5" t="n">
        <v>187</v>
      </c>
      <c r="K20" s="6" t="inlineStr">
        <is>
          <t>Partition a graph into efficient dominating sets
The input is a finite undirected simple graph.  Its vertices are the integers
0 through 239, inclusive.  Each unordered edge is listed once as u-v;
there are no loops, and the order of endpoints and edges has no meaning.
A set S of vertices is an efficient dominating set (an E-set) when every
vertex outside S has exactly one neighbor in S.  Find a partition of all
vertices into exactly 6 E-sets, named by colors 0 through 5.  In other
words, assign one color c[v] to each vertex v so that the closed neighborhood
consisting of v and all its neighbors contains every color 0 through 5
exactly once.  Consequently adjacent vertices have different colors.  Every
color must occur exactly 40 times.
Every vertex has degree 5.  The graph has 240 vertices and
600 edges:
58-169 147-157 78-149 44-50 5-71 166-239 199-201 231-235 65-203 137-138
60-97 162-215 142-225 25-108 24-155 118-191 181-204 40-223 75-195 89-208
136-209 61-179 67-73 46-211 95-190 113-177 34-175 50-213 8-23 19-221
159-196 70-207 54-211 33-208 83-94 120-163 107-149 63-170 58-78 168-216
17-198 6-116 125-230 14-93 87-198 64-203 1-178 29-203 105-135 155-158
107-168 33-131 57-66 55-145 125-193 68-185 135-144 225-229 105-185 121-159
217-222 171-219 88-177 94-128 4-45 51-149 90-169 164-217 59-151 80-236
29-50 64-66 28-48 123-130 136-148 44-221 23-204 22-61 27-65 32-114
188-229 3-84 151-169 73-76 131-167 131-206 138-187 161-198 46-152 24-228
100-167 53-216 45-132 115-228 104-191 39-91 124-140 170-174 4-163 65-197
59-62 37-122 49-145 158-195 81-128 127-150 24-133 4-10 22-200 3-78
42-88 150-151 146-180 142-205 10-192 71-193 111-190 148-197 33-98 204-211
151-232 98-199 52-174 25-40 7-187 5-6 19-51 129-235 30-44 101-172
96-139 220-238 147-182 50-119 34-38 110-124 168-223 51-161 173-201 9-152
124-125 43-106 210-218 13-55 54-64 99-103 47-115 36-192 99-104 83-220
71-85 148-229 124-235 155-231 43-117 143-160 108-207 161-171 69-81 101-198
170-189 79-103 80-176 146-231 204-205 63-91 61-72 0-34 45-122 1-23
114-152 102-181 22-40 75-192 53-154 89-194 104-230 22-110 100-142 79-190
43-98 3-101 82-202 162-172 16-112 17-68 148-225 132-233 0-189 61-97
86-119 129-162 37-126 91-180 59-90 113-127 21-134 40-231 69-136 78-182
76-139 21-185 52-202 15-221 9-162 147-201 23-171 209-239 31-84 156-165
109-123 88-109 46-139 31-227 20-212 165-193 28-186 177-220 63-77 114-237
52-189 164-186 26-85 56-109 39-216 175-214 20-191 31-207 187-236 127-195
26-79 114-183 139-214 33-49 7-72 143-192 96-197 198-238 81-136 18-105
26-107 107-193 36-197 106-200 106-208 28-213 41-120 5-70 110-210 19-73
111-173 7-64 84-180 69-92 188-218 167-216 38-118 17-84 129-153 171-223
31-96 69-132 100-120 158-206 6-214 126-236 186-232 2-17 28-183 4-234
37-121 146-176 68-219 11-56 105-189 20-237 36-149 11-102 34-49 121-192
2-209 28-199 18-27 82-184 25-154 122-202 18-41 100-227 133-137 123-204
96-212 177-197 74-185 43-45 9-155 39-106 130-222 41-116 36-169 44-166
56-141 154-224 35-145 93-210 68-114 2-163 67-179 11-184 103-181 57-153
27-137 27-223 7-208 83-206 142-151 14-22 76-166 81-132 33-141 235-237
14-238 99-133 130-227 183-224 178-210 178-215 54-123 62-160 64-133 163-218
115-154 120-179 165-207 14-113 62-228 1-232 25-189 228-232 35-226 13-23
16-129 144-219 68-96 59-238 98-115 77-108 21-26 152-227 112-123 126-134
42-222 217-234 65-112 27-126 85-216 60-141 15-219 140-173 111-196 71-98
120-228 73-117 24-167 15-19 164-165 12-32 18-92 128-174 80-82 40-145
138-170 226-233 161-190 15-159 111-118 89-218 6-230 62-223 176-209 141-208
37-149 9-10 51-59 82-147 139-236 3-122 116-137 143-190 36-116 30-140
191-237 38-74 47-131 87-175 97-100 127-226 48-67 54-184 1-86 48-57
13-93 30-238 12-183 14-111 16-201 176-239 13-196 135-203 46-144 54-70
135-233 84-136 30-206 3-182 26-38 85-229 50-165 169-180 29-66 119-188
0-102 20-104 90-207 234-236 8-172 8-191 53-85 178-182 47-74 88-220
60-233 45-117 2-173 141-213 17-156 143-153 147-194 72-110 87-91 90-163
12-99 41-140 8-229 97-157 9-167 95-217 146-158 29-32 113-128 182-239
24-79 42-219 71-72 52-152 16-227 179-200 76-224 35-156 37-119 56-102
57-92 25-97 166-194 60-73 74-134 94-125 32-146 156-209 95-164 10-75
118-144 19-175 168-194 78-79 160-206 0-69 55-134 161-225 58-181 106-109
103-215 89-213 130-133 95-157 184-217 51-56 137-239 21-101 1-187 143-162
8-160 20-166 171-196 76-160 52-103 82-211 41-90 94-153 67-148 92-193
131-154 49-168 4-12 46-157 77-105 91-220 109-117 86-110 15-177 44-112
187-234 21-35 95-224 48-93 47-200 42-60 213-214 55-200 35-174 159-222
172-212 205-218 30-66 39-186 225-232 194-231 13-188 83-201 150-235 184-221
6-150 57-125 104-170 181-233 77-222 87-121 10-86 102-215 5-112 16-31
66-124 29-230 89-113 32-183 2-83 34-179 65-186 117-158 77-145 138-215
88-138 203-205 212-224 18-157 72-210 135-140 174-175 38-70 199-202 159-164
12-108 101-176 48-107 195-202 5-221 87-226 80-94 92-226 11-122 62-132
180-199 70-230 49-53 121-127 75-150 185-196 119-173 63-67 58-108 7-211
74-118 75-214 58-172 93-116 42-195 128-130 61-129 81-188 39-43 0-11
55-115 99-134 80-234 178-212 63-155 47-53 126-205 86-156 142-237 144-153
Order matters only by vertex index: the first output integer is c[0], the
second is c[1], and so on through c[239].  Color names may be globally
permuted.  Repeated colors are required, but there must be exactly 240
comma-separated integers, each in the inclusive range 0..5.
Give your final answer inside &lt;answer&gt;&lt;/answer&gt; tags, as a comma-separated list
of the 240 colors in vertex order.
Example of the syntax: &lt;answer&gt;0, 2, 1, 0&lt;/answer&gt;
Output nothing else inside the tags.</t>
        </is>
      </c>
      <c r="L20" s="6" t="inlineStr">
        <is>
          <t>[1, 2, 0, 2, 2, 4, 5, 3, 5, 1, 3, 4, 0, 1, 2, 3, 0, 3, 4, 5, 3, 4, 1, 3, 3, 5, 2, 5, 5, 2, 4, 1, 1, 5, 0, 5, 2, 0, 5, 2, 3, 0, 5, 0, 1, 5, 2, 2, 0, 4, 3, 1, 0, 3, 1, 0, 0, 1, 3, 3, 3, 4, 2, 5, 0, 3, 5, 2, 2, 3, 3, 1, 2, 4, 1, 0, 0, 1, 5, 1, 0, 0, 5, 5, 4, 0, 4, 4, 2, 0, 5, 3, 2, 4, 2, 5, 5, 0, 3, 5, 2, 1, 5, 4, 1, 3, 4, 3, 4, 3, 0, 3, 2, 5, 4, 4, 3, 1, 4, 5, 1, 1, 3, 5, 3, 4, 2, 3, 1, 5, 4, 0, 4, 2, 3, 5, 5, 1, 0, 3, 2, 2, 5, 4, 0, 2, 5, 3, 1, 4, 2, 4, 5, 3, 1, 0, 1, 1, 2, 2, 1, 2, 2, 4, 4, 0, 5, 4, 1, 1, 4, 4, 0, 1, 3, 2, 3, 4, 1, 3, 0, 2, 0, 3, 2, 0, 1, 5, 2, 2, 0, 2, 5, 5, 2, 4, 5, 0, 5, 2, 5, 4, 1, 4, 0, 1, 3, 2, 1, 2, 5, 4, 4, 4, 1, 3, 5, 3, 3, 1, 1, 0, 0, 0, 2, 3, 0, 3, 5, 4, 0, 4, 0, 1, 1, 1, 4, 0, 0, 4]</t>
        </is>
      </c>
    </row>
    <row r="21">
      <c r="A21" s="2" t="inlineStr">
        <is>
          <t>2008.09415</t>
        </is>
      </c>
      <c r="B21" s="2" t="inlineStr">
        <is>
          <t>Acyclic, Star and Injective Colouring: A Complexity Picture for H-Free Graphs</t>
        </is>
      </c>
      <c r="C21" s="2" t="inlineStr">
        <is>
          <t>graph structures</t>
        </is>
      </c>
      <c r="D21" s="3" t="inlineStr">
        <is>
          <t>https://arxiv.org/abs/2008.09415</t>
        </is>
      </c>
      <c r="E21" s="2" t="inlineStr">
        <is>
          <t>easy</t>
        </is>
      </c>
      <c r="F21" s="2" t="inlineStr">
        <is>
          <t>{"n": 24}</t>
        </is>
      </c>
      <c r="G21" s="4" t="inlineStr">
        <is>
          <t>yes</t>
        </is>
      </c>
      <c r="H21" s="5" t="n">
        <v>2602</v>
      </c>
      <c r="I21" s="2" t="inlineStr"/>
      <c r="J21" s="5" t="n">
        <v>24</v>
      </c>
      <c r="K21" s="6" t="inlineStr">
        <is>
          <t>Acyclic colouring of a co-bipartite graph
The graph has 2n vertices, where n = 24.  They are split into
A1,...,A24 and B1,...,B24.  Every two distinct A-vertices are adjacent,
and every two distinct B-vertices are adjacent.  Cross-adjacency is given by
the matrix below: entry 1 means A_i is adjacent to B_j, and entry 0 means they
are nonadjacent.  The graph is undirected, simple, and has no loops.
    B1 B2 B3 B4 B5 B6 B7 B8 B9 B10 B11 B12 B13 B14 B15 B16 B17 B18 B19 B20 B21 B22 B23 B24
A1: 0 0 0 1 1 0 0 1 0 1 0 1 1 0 1 0 0 1 1 0 0 0 1 0
A2: 1 0 0 1 1 0 0 0 0 0 0 0 0 0 0 0 1 1 0 0 1 0 0 1
A3: 0 1 0 1 0 1 0 0 0 0 0 1 0 1 0 0 0 1 0 0 1 0 0 0
A4: 1 1 1 0 0 0 0 0 0 1 0 0 0 1 0 1 0 0 0 0 0 0 1 0
A5: 1 1 0 1 0 1 0 1 0 0 1 0 0 0 1 1 0 1 0 0 0 0 1 0
A6: 0 0 0 1 0 0 0 1 1 0 0 0 0 0 1 0 0 0 1 0 0 0 1 0
A7: 0 0 1 1 1 0 0 1 1 0 1 1 0 0 0 0 0 0 0 0 0 0 0 0
A8: 0 1 0 1 0 0 0 0 0 0 0 0 0 0 0 0 0 0 0 0 0 0 1 0
A9: 0 0 0 0 1 0 1 0 0 1 0 0 0 0 0 0 0 0 1 1 0 0 0 1
A10: 1 0 0 0 0 0 0 0 0 0 1 0 0 1 0 1 0 1 0 1 0 1 0 0
A11: 0 0 0 1 0 0 0 1 0 0 1 0 1 0 0 1 1 0 0 1 1 0 0 0
A12: 0 0 0 0 0 1 1 0 0 0 1 0 0 1 1 0 0 0 0 1 0 0 0 1
A13: 0 1 0 1 0 0 0 0 0 0 1 1 0 1 0 1 0 1 0 0 0 0 0 1
A14: 0 0 0 0 0 1 0 0 0 0 0 0 0 0 0 1 1 0 0 1 0 1 1 1
A15: 0 0 0 0 0 1 0 1 0 0 1 1 1 0 0 0 0 0 1 1 0 1 1 0
A16: 0 0 0 0 1 0 1 1 1 0 0 0 1 0 1 1 1 0 0 1 0 1 1 0
A17: 1 1 0 0 0 1 0 0 0 0 0 0 1 0 1 0 1 0 0 0 1 0 0 0
A18: 0 0 0 0 0 0 0 0 0 1 0 0 1 0 0 0 0 0 1 0 1 0 0 1
A19: 0 0 0 1 1 1 0 0 1 0 1 0 0 0 0 0 0 1 0 0 1 1 0 1
A20: 0 0 0 1 1 1 1 0 0 0 0 0 1 0 1 0 0 0 0 1 0 1 1 0
A21: 0 0 0 0 1 1 0 1 0 1 0 1 0 0 1 1 1 0 1 0 0 1 1 0
A22: 0 0 0 0 1 0 1 1 1 1 0 1 0 0 1 0 0 1 1 1 0 1 0 0
A23: 0 0 1 0 0 0 0 0 1 1 0 0 1 0 0 0 0 0 0 0 0 0 0 1
A24: 1 0 0 1 0 0 0 0 0 0 0 1 0 1 1 0 0 1 0 0 0 1 0 0
A proper colouring assigns one of the colours 1,...,24 to every vertex and
never gives adjacent vertices the same colour.  It is acyclic when, for every
two colours, the subgraph induced by all vertices having either colour contains
no cycle.  Find an acyclic colouring using at most 24 colours.
Because each of A and B is a clique of size 24, every such colouring must pair
each A_i with exactly one B-vertex.  Report the pairing as exactly 24 integers
p1,...,p24: p_i = j means A_i and B_j receive the same colour.  The integers
must be a permutation of 1,...,24; order is by A-index, and indices are
1-based.  Repetitions are forbidden.  Colour names do not need to be reported.
Give your final answer inside &lt;answer&gt;&lt;/answer&gt; tags, as comma-separated integers.
Example format: &lt;answer&gt;3, 1, 2&lt;/answer&gt;
Output nothing else inside the tags.</t>
        </is>
      </c>
      <c r="L21" s="6" t="inlineStr">
        <is>
          <t>[16, 6, 19, 24, 14, 11, 18, 12, 15, 17, 2, 13, 22, 7, 10, 3, 23, 5, 20, 8, 9, 1, 4, 21]</t>
        </is>
      </c>
    </row>
    <row r="22">
      <c r="A22" s="2" t="inlineStr">
        <is>
          <t>2011.04650</t>
        </is>
      </c>
      <c r="B22" s="2" t="inlineStr">
        <is>
          <t>Large rainbow matchings in edge-colored graphs</t>
        </is>
      </c>
      <c r="C22" s="2" t="inlineStr">
        <is>
          <t>graph structures</t>
        </is>
      </c>
      <c r="D22" s="3" t="inlineStr">
        <is>
          <t>https://arxiv.org/abs/2011.04650</t>
        </is>
      </c>
      <c r="E22" s="2" t="inlineStr">
        <is>
          <t>medium</t>
        </is>
      </c>
      <c r="F22" s="2" t="inlineStr">
        <is>
          <t>{"n": 32, "choices": 5}</t>
        </is>
      </c>
      <c r="G22" s="4" t="inlineStr">
        <is>
          <t>yes</t>
        </is>
      </c>
      <c r="H22" s="5" t="n">
        <v>2378</v>
      </c>
      <c r="I22" s="2" t="inlineStr"/>
      <c r="J22" s="5" t="n">
        <v>23</v>
      </c>
      <c r="K22" s="6" t="inlineStr">
        <is>
          <t>Find a full rainbow matching in a coloured bipartite multigraph
There are three separately labelled sets, each of size 32:
- colours 0 through 31;
- left vertices L0 through L31; and
- right vertices R0 through R31.
Each input line `c l r` is one edge from left vertex Ll to right vertex Rr,
with colour c.  All labels are 0-indexed and both bounds are inclusive.
Different colours may give parallel edges with the same endpoints.  No exact
triple is repeated.  The order of the input lines has no meaning.
Choose exactly 32 listed triples so that every colour occurs exactly once,
every left vertex occurs exactly once, and every right vertex occurs exactly
once.  Thus the chosen edges are pairwise vertex-disjoint and have pairwise
distinct colours.  The order of your chosen triples has no meaning, and you
may not repeat a triple.
The 160 input edges are:
26 31 7
11 10 2
12 25 18
23 10 6
16 17 17
1 9 10
2 13 25
19 30 24
22 2 31
17 1 1
13 25 18
24 29 3
19 12 29
10 27 2
16 30 14
14 26 31
7 16 5
9 12 9
27 8 28
21 25 2
11 14 16
25 2 25
29 3 10
1 11 11
2 4 26
31 14 31
26 7 15
13 14 31
21 17 26
5 26 14
9 18 3
3 29 5
26 10 4
7 24 9
7 6 15
5 11 0
21 22 12
19 18 20
3 11 23
25 4 30
0 26 23
8 19 5
25 20 23
23 20 8
11 28 6
10 4 4
2 1 29
9 29 4
3 15 22
16 7 29
31 19 28
8 31 14
29 23 8
21 3 21
17 13 19
8 14 22
29 31 21
28 11 0
15 18 14
14 7 10
22 21 12
9 3 26
19 8 8
1 21 30
12 21 13
12 28 17
28 30 23
10 19 13
10 0 19
19 6 3
30 27 1
10 16 28
24 31 15
11 7 17
20 6 22
30 18 28
18 23 21
20 2 11
26 27 24
13 29 13
4 30 4
11 9 18
6 1 16
2 14 9
18 2 17
1 5 25
0 1 0
24 11 19
14 23 27
4 4 15
15 20 21
26 0 20
20 12 30
25 16 28
17 27 23
15 28 10
17 23 21
22 10 22
0 28 5
25 28 18
21 23 25
22 19 16
24 26 12
6 22 19
6 17 24
15 15 31
30 6 20
4 25 13
13 20 2
18 9 30
2 10 7
7 0 26
9 8 27
15 17 27
27 30 17
27 5 7
14 16 15
18 13 29
4 24 1
24 13 0
30 5 12
17 2 20
23 13 24
13 24 6
7 8 24
5 15 16
8 15 6
28 25 5
31 17 3
29 15 18
14 24 16
1 12 7
8 9 12
16 21 8
6 19 11
22 24 3
12 4 20
27 31 6
4 18 9
23 5 11
12 27 14
27 0 11
3 3 29
20 21 27
16 22 13
31 7 27
29 29 19
23 3 2
31 22 22
0 5 1
6 6 9
20 26 1
5 1 7
30 0 10
0 16 30
18 22 25
28 8 4
28 12 8
3 9 0
5 20 26
Give your final answer inside &lt;answer&gt;&lt;/answer&gt; tags, as one JSON array of
exactly 32 triples `[c,l,r]` using decimal integers.
Example of the syntax: &lt;answer&gt;[[0,2,1],[1,0,3]]&lt;/answer&gt;
Output nothing else inside the tags.</t>
        </is>
      </c>
      <c r="L22" s="6" t="inlineStr">
        <is>
          <t>[[0, 26, 23], [1, 5, 25], [2, 10, 7], [3, 15, 22], [4, 25, 13], [5, 11, 0], [6, 22, 19], [7, 6, 15], [8, 19, 5], [9, 12, 9], [10, 16, 28], [11, 9, 18], [12, 28, 17], [13, 14, 31], [14, 24, 16], [15, 20, 21], [16, 30, 14], [17, 1, 1], [18, 13, 29], [19, 18, 20], [20, 2, 11], [21, 17, 26], [22, 21, 12], [23, 3, 2], [24, 29, 3], [25, 4, 30], [26, 27, 24], [27, 31, 6], [28, 8, 4], [29, 23, 8], [30, 0, 10], [31, 7, 27]]</t>
        </is>
      </c>
    </row>
    <row r="23">
      <c r="A23" s="2" t="inlineStr">
        <is>
          <t>2102.01986</t>
        </is>
      </c>
      <c r="B23" s="2" t="inlineStr">
        <is>
          <t>A unified half-integral Erd\H{o}s-P\'{o}sa theorem for cycles in graphs labelled by multiple abelian groups</t>
        </is>
      </c>
      <c r="C23" s="2" t="inlineStr">
        <is>
          <t>graph structures</t>
        </is>
      </c>
      <c r="D23" s="3" t="inlineStr">
        <is>
          <t>https://arxiv.org/abs/2102.01986</t>
        </is>
      </c>
      <c r="E23" s="2" t="inlineStr">
        <is>
          <t>standard</t>
        </is>
      </c>
      <c r="F23" s="2" t="inlineStr">
        <is>
          <t>{"n": 96, "bits_num": 1, "bits_den": 1, "min_bits": 24}</t>
        </is>
      </c>
      <c r="G23" s="4" t="inlineStr">
        <is>
          <t>yes</t>
        </is>
      </c>
      <c r="H23" s="5" t="n">
        <v>15541</v>
      </c>
      <c r="I23" s="2" t="inlineStr"/>
      <c r="J23" s="5" t="n">
        <v>437</v>
      </c>
      <c r="K23" s="6" t="inlineStr">
        <is>
          <t>Exact-value cycle in an edge-labelled graph
The graph is finite, undirected, and simple.  Its vertices are the integers
0 through 291.  Every edge has a label in the cyclic
additive group Z/79228162514264337593543950336Z.  The value of a cycle is the sum of the
labels of all its edges, reduced modulo 79228162514264337593543950336; edge traversal
direction does not change a label.
A simple cycle uses distinct vertices and returns from its last listed vertex
to its first.  Find any simple cycle containing exactly
193 distinct vertices whose value is exactly
67441492798331309534631366419 modulo 79228162514264337593543950336.
There are 388 edges.  Each following line is
"endpoint endpoint label".  Endpoints are 0-based.  Edge order and endpoint
order carry no meaning.
51 142 47046569641945067502819358186
29 136 27869203941535925169614383044
239 60 5033183506188869533867093224
29 182 2147245866444821860074651190
161 28 36164632185286825584739783207
180 88 18138637184330494521925170870
255 126 7700343639031059471792907681
69 115 31054110891566997029751067949
122 101 36468979662460210155130442192
218 203 30025343915945692096708655824
59 149 13805206464402040286729121753
169 212 40832894666417405295036819092
38 1 16805865891210994866545561223
217 225 43023324265596570770670560569
34 200 45312384253024649392281977680
44 185 18634772600500858744926288588
109 205 32875125693003341732211710041
259 125 29023531709741127756887672976
249 108 49202853697552254764671919685
201 74 4450413911979969213799400295
284 46 75310739344589893700293856719
99 215 58726363181201715802313555997
225 169 70472382096025143924464451879
83 286 612426260756791134552839074
246 238 19080502030574260165330425514
239 14 19854998567497343348325162132
195 236 33262556783897283410651181777
70 48 53397303003254472721123943596
43 31 6113648036605021990937918396
266 180 60675654928678582100990284485
197 25 23242990118117757994555936498
263 229 33424907035304948090736760445
273 105 52559069004629756249842652650
39 81 56649301152041895186934736163
141 109 42670749610169670232777054562
227 210 30026626195308626686982927061
170 91 16769455649462956686096266099
285 181 26899013648034368802245191499
79 188 11733198691059237183725459664
266 111 24363779548217666838144223289
166 284 28417069800059322106540974925
287 75 42035043286686606251698154666
0 199 10084778732754692240864972576
2 96 23381059161760237120312769302
226 104 50363028747390495690977887696
92 109 45302476817747564436107772382
142 269 18339436652363503463161657360
171 127 21189391865175012806189615833
267 236 68917624037160016955877369376
18 222 77662981080934663396908890080
202 52 37448857216772525256810160474
33 24 70978670369531377066236482107
256 247 44941751100983703668187643622
178 145 57237896948723046095015984407
175 272 72578763560720183132118668159
170 20 51509722265596277275584036931
50 108 78438357651333253614590484985
85 257 46075580699822930903785768123
165 140 43513663118002911003786634388
237 217 43259665565439599057250653538
133 239 8838073737517457702697439891
152 179 27852421822445577395527511338
263 53 68268732247906876503795468551
89 134 12473105822708843114991966666
157 151 13320846021248357720259820604
189 144 34660147406339340104508154927
271 70 35022348558012310116898198367
152 256 79081637842266325743606780851
63 45 53746748945882926492337408675
281 240 60565449579044623350236370800
163 206 6276912711321962606855988323
5 82 47966852373011942309120881043
113 224 53304364546889937981199259332
52 180 18856669935843040878057993491
58 114 28856598112340524178588192579
6 114 32161895225283426512116962
201 221 47726964837973343804105713569
264 118 76288266753562947017510732563
242 201 49693282476926408726805432446
16 159 25612388030350716754693730882
18 57 43675719022568951423386854915
190 24 40174051553529737989204291716
280 37 43216934251471981436509418830
120 96 76574036099520003257877964508
47 209 72305826993905739820999385396
147 286 20244341149922083494766432737
289 218 76749063077040217782717057874
22 66 18680263461425604911071201736
224 42 6718194556351895736884978981
111 26 9586940381424748536939927988
35 257 55685905820155889065671965979
157 181 64573884824829471030463864199
211 100 6400881416863347718178752909
12 33 67763322324951012100215373182
177 187 71220146980318169216203555121
81 234 62006760507775568107183880499
144 66 4219445601930945653497912211
131 62 8573943691364242478550490241
0 191 76883057212888246304186501478
143 178 2932996022325351194404182959
58 0 20181196311054351238394758701
178 13 51485364210240019581271086780
188 99 71616599878062424317949592240
236 271 52444186547341074990168049705
184 286 52855687015610416731119679180
172 255 36031861523496510918309498265
262 43 76555650758468604638999845588
214 15 67451851067912231364133277751
176 206 10901762939493661047531236341
167 255 44479275215165772058297448171
101 258 64234178663419217135076068551
128 8 69143981339009938203244902896
190 12 4507294381774982830200234129
56 77 67240603537940245769716392681
213 7 2082435294060089027207750539
130 8 4247348391833800904915769996
73 226 71713124387576595272721051330
178 102 72963520421967830822103008434
70 184 34061267302429422518056199398
7 107 29228154080155402725697542491
257 121 54809025268654412645732616892
161 4 49656127054487832645300643731
51 86 54460244260590639281264616866
97 90 224655436136279528473965481
139 114 71527624517833664955586753900
168 107 43705973315870460499346638419
103 25 11533227294636246845479032298
49 109 59001620813685270893367687210
158 234 56038764532181474260698933634
76 91 51637323794326029433648898975
7 135 6830694335086239411180447172
98 201 49479712991857037989891991839
69 119 29846823086288895511356010012
226 160 23859656198114345555436045929
252 262 19807295357312297240085009928
129 211 54358243955016079715674907505
273 241 67035242487613531041483203015
256 207 61901911891307412601403205067
286 208 55750581639292724435710461543
0 122 26007591280994517979078128695
218 89 4529099711186705056322507675
280 80 39417864046396525736528129209
138 134 47102660507038562312486647828
70 147 609033792638399755720678480
34 223 21746576539193702686266605523
54 144 67436322270693213710299456877
16 156 53093446911711279308793426686
69 31 28666975365782449392344914965
83 153 13919976542765024079521796416
156 175 27568315234859784671483111821
55 59 59077690017384050780724365964
211 117 76378023300791676193483146822
244 222 56775164799327174722749565308
162 248 74686506394297778958399291169
161 94 71084149787523762891740239387
240 130 78746306775957959386688137758
9 155 14669082185422302079820422076
260 41 12123134249242407217813587448
171 131 29121186668298654012372837472
132 257 38886872341883759965966558307
55 97 58764959008036854091307681203
4 124 21527488928732915586080013041
91 164 34530483811550603751103136831
216 49 64286436466442767190601617520
80 169 77146330813037558480594740951
268 166 52509949349501630764341025688
198 104 62472992404972753184870658936
19 202 63976503672230775181528584607
153 230 45616340403452241959386824179
118 120 28979685513004567734653645991
150 282 47569388472556425672546384101
60 47 78920866793468605685965114658
20 76 75235992631910344426329042285
211 61 8640148792912111794481500167
220 162 54562692042719437015966131235
27 223 51208379102645135697049384708
150 228 59443642850369096202937680284
272 16 46374590437016612304120582795
64 111 1543106490864813669648950331
39 276 55417324567391959512649598523
234 227 69850019016256011485708257828
206 73 36216272268151341215211387082
17 148 58286167418063495684701222903
288 21 63497152088232564142962259599
214 279 38916888815343799918303009933
265 183 36035021264686029499910005168
291 39 75914273174232127214262329789
290 101 17623014631682317522230363255
59 117 41313621767140413872471700971
158 210 21264485551616742527370299555
74 190 24593043509918168245585630345
124 261 42795268166169329775733668964
105 196 29276952408348060466107898563
198 278 50051270608661453292999870395
41 168 27295273041654840157953302377
43 123 42308722384794287782841086318
101 191 74414033244064239198199443239
65 13 5420850189661253030022000374
196 233 10639638372166024125243832174
61 59 61640860279551804192817103208
173 218 12264268350662436844552690378
71 165 59931601357606964105261716093
217 278 36261112029267519690142673391
62 228 57128312717105333650151131503
46 72 75387302325179433171946195024
267 171 26923683404463040248715779776
180 26 26785898348371733007902819279
113 28 41036840916783062198630826800
19 263 33559356059648933488431292115
94 124 37607583319775206785738093559
1 116 6782957653517754186486528703
141 57 40227123300970385307756848915
236 48 29318626460853338271035749782
38 210 67419429664409211253565219329
203 77 38476454158448035381466324322
283 85 42063969237876803916135897459
151 250 66906944064165384822654479890
97 268 62336289980008474874163474089
192 240 65134712431343986521909523924
214 213 11002959335981968461564965646
246 93 11338954194751447275802667421
1 132 54715709274784370384239531049
146 3 32293349392606449815889464657
84 161 70626038185815168733062482851
29 277 33287199262774342193987655996
253 44 18910649827680360894398224525
242 190 5410195014964960588995044579
245 2 58023518697697784199655650020
134 289 42957129801672142868592273600
229 77 43601263303824788108091678695
39 235 67310315836162691390183763244
106 113 39168594848252197475958670759
77 173 36049477198612738168071969222
153 40 3351530505155309398805747422
154 259 29473936668252278018544114015
3 277 32941028837309385658918801499
44 87 21011341766539639717884938219
174 226 34007808803130213414933197753
82 287 25763845270856545390785795668
269 220 22866086886350808813653167502
57 244 21662951975335807930497068980
17 154 45470768121152084407133765898
121 1 7372446065128810699783251475
22 163 65740485831115477565291163034
260 23 35650652362071407625623326024
116 210 26964421126501582251526897118
75 78 65899758490642343734709036562
269 86 33682979494716552186245211517
57 205 69667403618798521972996969270
269 95 51310909068705052431384866997
108 194 52324508071442179154378080084
17 254 67567860148051864101610400391
102 65 59164927014945042171575094827
155 128 77191597291352273032622720123
177 258 1963778289952056294309658128
8 192 37189457159315799826173910907
79 215 66123429854757147998801350203
111 209 48247590899244978023485813159
22 176 51495190778213034223474065868
252 189 60460344339103332084735402960
222 251 12548011117712040047879035196
200 67 19814822843009473268613612217
56 263 76771792948430019510699157360
217 212 3320130865873112728597460085
214 254 42955240722525487692135782638
193 155 15379579325529808397179556926
274 177 64235953979264763955985818473
125 256 5326775770320470479603275223
174 198 77220084201213902180944890831
53 202 57763340349803668400965086643
245 137 13915640321696345732322879462
62 282 52032010315722584392918764773
223 67 38283686834820147803902919073
68 45 74316191001041307672797028130
168 135 41649901075232388048142981002
253 196 5747457731457366656542191858
11 25 54984436921633567540660988642
264 96 63896601535608801690346217754
84 113 47176592972435090054020760836
8 10 42318541909003415981291158053
283 35 19918251350322936334346012514
204 144 29703642363862427933817255587
30 280 57605317169282144946427005570
150 78 64314989323068543572052655121
110 245 49774943338307229488644965105
138 44 41419114156870896689508748300
279 17 35357398672426365949736802726
275 255 65272545848596554931453754853
234 235 8361650603430460296901445484
149 97 1177356267152407905055639345
7 15 62883105931420135041192185608
40 112 72982007246672437810532466398
29 164 17472875464294004783726904053
208 153 5710408984783803410372829878
68 69 64427136155275909925863840702
151 285 46655190196448184923585117449
290 177 69100171894972365539463931815
145 216 46758911046163642256002000664
200 93 20122158049862950885740374971
51 194 211992826581174726333789086
11 65 69132849717730976340899613743
259 148 31535506269054376004159188697
179 207 53828453969251047252958683198
98 181 51934774900975280560170432555
75 5 55600693768825560454888931949
259 247 53800838905668801277632937643
159 183 78286869894307794766909969528
200 186 12516118575766265620778706991
3 136 30136890075223178273363984771
16 265 26129738495423705175429506416
82 129 72073924935151131641749062244
291 20 64911726504123722199225992875
115 45 26411661966477307121706680727
71 183 42988693456072645070051634762
198 237 26344838389000241440403830495
22 204 73747626536362350788079996038
160 206 66152592278883313244451388163
168 23 77039859393588580869908550566
219 222 65929174988726444788213236451
275 46 11074276133212642735257162715
165 251 9620365863852471327662310292
179 37 6343712802460662792948738451
252 123 66164499627986659981648816130
165 219 43753864550486063811240642846
246 186 71401166732434365604507184864
133 47 35947695597966750303384290970
32 175 75329050101893607722372317101
139 42 23843705821137093490734424751
188 274 68501120888251779530869223093
90 166 68904370948638610511465322111
20 276 10000256003836644405763278731
119 43 34676060229833480710498862674
36 33 12577170622094857884161724582
270 150 73126408529490775643855738924
54 252 69254679427065710696183648035
193 283 38362164244167454220542606298
155 10 14216823963635529679397213758
239 21 47944043829828236103122641796
87 196 69789249890100004725958776382
100 82 5203882897626374087133192533
248 175 39122487878400496310794777050
137 96 65796820035798544003911796810
51 249 58635916116513902544720807282
118 167 53268326259282040534754818829
3 261 18322422318594096997858048903
185 134 47143538095109100951154342294
42 106 15776698746985724328250838271
270 75 33811728233500737771775953839
280 232 24283103718153448374834167956
32 162 7235661521073167673960438894
108 281 41402461731475660654600692170
42 6 51871123559185759358938636774
232 179 33760393663888027491584272701
197 65 3643779860284096397240093881
30 169 41141271644650005218195381332
146 124 55968290696140804209741574641
195 171 31753407571784935052962065239
181 221 11602506507820408817860746629
283 9 15258099544757056398180961732
250 112 72871667331812616201897485926
233 273 21577648723464200986088706199
25 238 68995021307421294225505338633
245 27 34925611787849905105762924960
95 162 65492467979962473121271621401
64 47 60412329517218328488519432573
246 103 13467492202240866397536292454
140 183 60212653973181035611026016658
63 33 5222075282982965924475555266
45 36 22413138780796555718609287742
215 241 280918493442520167830815731
112 230 9124974895696933180696034759
216 92 61444963760216906398280892293
215 231 38705480836572700209466077926
202 88 68107333018294162755196394278
260 239 70903336371432828687146227332
223 110 50438064645282952527823877324
127 62 45484888683185786097948565356
243 112 25730786533446995187527506666
243 151 48972928800935580576828846786
166 72 29356408188004392734172387379
118 172 1102749854439602869162877476
91 182 3983959166704520021236899485
231 273 56855094915461202724087275691
199 114 74503285644706228297535741694
187 188 24422742559290157421467550978
240 50 35075971754408685882765011567
143 216 77708419306978291030513451768
46 126 10748413337003100725406035226
Represent the cycle as a JSON array of exactly 193
distinct vertex IDs in cyclic order.  Do not repeat the first vertex at the
end.  Any starting vertex and either direction are allowed; repeats are not.
Give your final answer inside &lt;answer&gt;&lt;/answer&gt; tags, as one JSON array of
integers.
Example: &lt;answer&gt;[3, 17, 42]&lt;/answer&gt;
Output nothing else inside the tags.</t>
        </is>
      </c>
      <c r="L23" s="6" t="inlineStr">
        <is>
          <t>[35, 257, 132, 1, 38, 210, 227, 234, 81, 39, 276, 20, 76, 91, 182, 29, 136, 3, 261, 124, 94, 161, 84, 113, 106, 42, 139, 114, 199, 0, 122, 101, 258, 177, 187, 188, 99, 215, 231, 273, 105, 196, 253, 44, 138, 134, 289, 218, 203, 77, 229, 263, 19, 202, 88, 180, 26, 111, 209, 47, 60, 239, 260, 23, 168, 107, 7, 15, 214, 279, 17, 148, 259, 125, 256, 152, 179, 232, 280, 30, 169, 225, 217, 278, 198, 174, 226, 160, 206, 163, 22, 66, 144, 189, 252, 262, 43, 119, 69, 115, 45, 63, 33, 12, 190, 242, 201, 98, 181, 157, 151, 250, 112, 40, 153, 83, 286, 184, 70, 271, 236, 267, 171, 127, 62, 282, 150, 78, 75, 287, 82, 129, 211, 61, 59, 149, 97, 90, 166, 72, 46, 126, 255, 167, 118, 264, 96, 137, 245, 27, 223, 34, 200, 186, 246, 103, 25, 11, 65, 13, 178, 145, 216, 92, 109, 205, 57, 244, 222, 251, 165, 140, 183, 159, 16, 272, 175, 32, 162, 95, 269, 86, 51, 249, 108, 50, 240, 130, 8, 128, 155, 9, 283]</t>
        </is>
      </c>
    </row>
    <row r="24">
      <c r="A24" s="2" t="inlineStr">
        <is>
          <t>2105.10184</t>
        </is>
      </c>
      <c r="B24" s="2" t="inlineStr">
        <is>
          <t>Balancing the Spread of Two Opinions in Sparse Social Networks</t>
        </is>
      </c>
      <c r="C24" s="2" t="inlineStr">
        <is>
          <t>graph structures</t>
        </is>
      </c>
      <c r="D24" s="3" t="inlineStr">
        <is>
          <t>https://arxiv.org/abs/2105.10184</t>
        </is>
      </c>
      <c r="E24" s="2" t="inlineStr">
        <is>
          <t>medium</t>
        </is>
      </c>
      <c r="F24" s="2" t="inlineStr">
        <is>
          <t>{"n": 16, "part_size": 16, "degree": 11, "mix_steps": 6}</t>
        </is>
      </c>
      <c r="G24" s="4" t="inlineStr">
        <is>
          <t>yes</t>
        </is>
      </c>
      <c r="H24" s="5" t="n">
        <v>15397</v>
      </c>
      <c r="I24" s="2" t="inlineStr"/>
      <c r="J24" s="5" t="n">
        <v>289</v>
      </c>
      <c r="K24" s="6" t="inlineStr">
        <is>
          <t>FOUR-ROUND TWO-OPINION GOOD-SEED SEARCH
This is the exact selection core of a four-round 2-Opinion Target Set
Selection instance. There are K vertex-selection groups (colour classes)
and one edge-selection group for every unordered pair of classes.
A good added seed set T_b chooses exactly one selection vertex from every
group; T_a is empty. The incidence gadgets balance after round 4 exactly
when every chosen edge has the two chosen vertex labels as its endpoints.
Thus no knowledge of opinion diffusion or of the source paper is needed:
the complete, exact witness conditions are stated below.
K = 16
Q = 16
R = 11
B = 136
Vertex groups are ordered by class c = 0,1,...,K-1. Class c has local
labels x = 0,1,...,Q-1. Choosing label x in class c means choosing the
global selection-vertex ID c*Q+x.
Edge groups are ordered by (i,j) in the PAIR lines below; the lines use
lexicographic order 0&lt;=i&lt;j&lt;K. ROW_MASKS contains Q hexadecimal integers.
For row u, bit v (least-significant bit is v=0) is 1 exactly when edge
(u,v) is available. Leading zeroes have no meaning. Every row has R bits.
Available edges are ordered by increasing u and then increasing v. If a
PAIR has OFFSET o, edge (u,v) has global selection-vertex ID
o + R*u + (number of set bits below v in row u).
A valid witness is an ordered JSON array of exactly B distinct global IDs:
first one ID from each of the K vertex groups, then one ID from each PAIR
group in the displayed order. For every PAIR (i,j), its chosen edge must
equal (the chosen local label in class i, the chosen local label in class
j). Order is required, IDs are 0-indexed integers, and repeats are forbidden.
PAIR_DATA_BEGIN
PAIR 0 1 OFFSET 256 ROW_MASKS f33d,dafa,97f9,9e5f,efd1,7b5b,cdbe,dd67,3eed,74bf,f9c7,73f5,ecf3,2fbe,f78e,af6e
PAIR 0 2 OFFSET 432 ROW_MASKS f3ab,ef95,f1d7,adde,5fdc,7f66,fc7c,3fab,77ae,d9f3,fe59,b6f3,ca7f,1fed,a73f,c8ff
PAIR 0 3 OFFSET 608 ROW_MASKS bf56,f8bd,7b67,53f7,b7ec,7d57,ab6f,4ebf,f0fb,fcb9,877f,ef99,37fa,dcdd,efa6,dfca
PAIR 0 4 OFFSET 784 ROW_MASKS 7e76,bfa6,cebd,6b9f,ab6f,fda3,74fb,a77e,5cbf,57fa,bf5a,efc9,b1f7,d3dd,d8fd,ff45
PAIR 0 5 OFFSET 960 ROW_MASKS eed6,b5fc,63df,7f9a,57db,cdd7,89ff,f32f,db79,f2f5,3daf,fe36,ef69,7db9,9e6f,bee6
PAIR 0 6 OFFSET 1136 ROW_MASKS 7f74,a77b,f5ae,8efd,7d4f,dfc9,75ed,beb6,f85f,7afc,e3eb,8fd7,bfb2,d3b7,6cfb,db1f
PAIR 0 7 OFFSET 1312 ROW_MASKS fc1f,8fcf,75dd,df56,67f9,9bfc,f2f3,fa6b,cdaf,1eef,f1f6,7b3b,b6de,6fad,bf71,edb6
PAIR 0 8 OFFSET 1488 ROW_MASKS 3afd,0f7f,fb3c,b6f6,fe5c,55fe,ff16,cf8f,75cf,bee3,dce7,d37b,bdb9,6bbb,e9cf,e7f1
PAIR 0 9 OFFSET 1664 ROW_MASKS f5d6,9fd9,ef65,5ecf,23ff,57eb,793f,aff4,e99f,9e3f,fe3a,bdea,fc97,f3f2,5eed,e37d
PAIR 0 10 OFFSET 1840 ROW_MASKS 1ff3,95ef,ea5f,7797,bfcc,daeb,bb76,aff4,cded,7cfa,7a7b,feb2,657f,c79f,f9ad,f71d
PAIR 0 11 OFFSET 2016 ROW_MASKS 9d3f,29ff,ef74,b3dd,3aef,f979,e5ee,d6dd,4ef7,9eaf,ef6a,7cf3,7f9a,ff34,f3d3,d78f
PAIR 0 12 OFFSET 2192 ROW_MASKS ed4f,fbe1,1ff9,f4db,f747,e8f7,f1af,ee6e,5bbe,def1,bf78,3b9f,cdf6,377e,36bf,cf9d
PAIR 0 13 OFFSET 2368 ROW_MASKS 73f3,dbad,cddb,fce6,ff29,f9ec,ae77,ef5a,1fd7,b2bf,af5b,f2de,7d3d,47ef,d4fe,3fb5
PAIR 0 14 OFFSET 2544 ROW_MASKS f373,acdf,7bd5,dabd,67fc,fd1e,dceb,7b75,bfd1,8f3f,d5cf,3efa,a7e7,c7af,7dae,fa7a
PAIR 0 15 OFFSET 2720 ROW_MASKS bbdc,7c7b,be6b,7b5e,cefa,a5bf,cfd9,e9e7,759f,becb,d7ad,d3f5,3f75,f3b6,6cf7,df2e
PAIR 1 2 OFFSET 2896 ROW_MASKS bbb3,ef4e,fe47,cf75,fcb9,db5d,17fb,7e8f,77ec,7af5,b2fe,b5af,6df3,eb9e,85ff,dd7a
PAIR 1 3 OFFSET 3072 ROW_MASKS 7bb6,ff25,f9cd,19ff,fe0f,fc6b,27fb,ff94,aeee,f3d6,ce7b,47fb,e4fd,99df,5f7c,b7b3
PAIR 1 4 OFFSET 3248 ROW_MASKS 5dde,e97d,fea3,afe3,3bee,ef17,a7ed,9bbb,775d,6e5f,f2ed,5abf,d77c,bdba,d4f7,fdd2
PAIR 1 5 OFFSET 3424 ROW_MASKS 55df,5f2f,7fb1,c3df,35fd,6fdc,8f7e,faab,dcbe,be5b,fae6,adf5,a76f,fde1,fad6,f33b
PAIR 1 6 OFFSET 3600 ROW_MASKS 8fee,8f77,fa3e,fd9a,b4fb,7b67,fabc,bd9b,5e6f,75ed,b2bf,57d7,63fd,ede5,cf5b,ffd0
PAIR 1 7 OFFSET 3776 ROW_MASKS f2af,a9f7,d7f2,55fb,bf36,7f4d,fa97,8dbf,c77e,3dcf,df74,f5d9,ea7b,7ebc,3bcf,eee9
PAIR 1 8 OFFSET 3952 ROW_MASKS fc8f,f3ba,d7b5,fed4,6fe9,cbde,ae77,97eb,5f9d,7e5b,b1ef,f937,d5eb,2b7f,6f7c,bcf6
PAIR 1 9 OFFSET 4128 ROW_MASKS 72f7,3e5f,b3dd,ef39,dcf3,fb6c,7dce,ddba,79f6,dec7,afab,d7b9,2f77,ab9f,c67f,f5ec
PAIR 1 10 OFFSET 4304 ROW_MASKS 7f99,3fa7,67fa,d2fe,9fe5,fd17,c9ef,ff07,ca7f,e67d,7cee,f5da,8e7f,bf9c,b3f9,79f3
PAIR 1 11 OFFSET 4480 ROW_MASKS 37f5,7f5a,dd5d,e7e3,63df,5d7b,fcae,aed7,b2bf,f0bf,fd6a,1fed,dbea,cbdd,feb4,af37
PAIR 1 12 OFFSET 4656 ROW_MASKS 6f4f,b7bc,bb73,dddc,5fb5,aff8,f65b,fb6c,73e7,9fce,dcbb,e4ef,cbd7,63bf,bcf3,7c3f
PAIR 1 13 OFFSET 4832 ROW_MASKS babb,cebd,aadf,7f66,7d5b,c37f,75cf,9fe6,df39,b5dd,6dbb,f337,eafc,3fc7,deec,f5f2
PAIR 1 14 OFFSET 5008 ROW_MASKS 8f6f,eedc,f975,59fe,cf9e,aafb,f46f,7773,7cfc,f7a9,f795,aed7,bfb2,f1af,1b7f,5fcb
PAIR 1 15 OFFSET 5184 ROW_MASKS 7eda,b9f5,fcd9,ff61,f9b6,6fe9,b78f,c57f,63bf,afd6,8efd,de2f,d67e,5b6f,fb93,35fe
PAIR 2 3 OFFSET 5360 ROW_MASKS 57fc,bfd2,efa3,f5d5,fe1d,efac,7dec,ad6f,f0fb,9adf,7ab7,1efb,8d7f,c3bf,7b76,f74b
PAIR 2 4 OFFSET 5536 ROW_MASKS df59,7abb,b3fc,d9bb,feb2,5fce,e57d,1edf,c7e7,f3b9,aded,a7f6,fe47,ae7e,79af,7d57
PAIR 2 5 OFFSET 5712 ROW_MASKS 72ef,b7e3,6b5f,f6a7,f51f,fdb2,6f5e,8ff6,9afb,7f5c,bcbb,9bed,ce7d,7de9,fdd4,c3bf
PAIR 2 6 OFFSET 5888 ROW_MASKS ed75,d9cf,fe71,d1fd,6f9e,2fde,df93,7e6b,6f7a,b0ff,f2af,b6ed,5b9f,9fe6,b7b9,ed76
PAIR 2 7 OFFSET 6064 ROW_MASKS d0ff,bf8b,dd5b,4ffc,dabd,b7b6,ea5f,6bfa,f3b5,f47e,aded,bdc7,4edf,3f75,ff62,77ab
PAIR 2 8 OFFSET 6240 ROW_MASKS e7f4,575f,fea9,b6f9,9dbb,2fe7,fb55,6c7f,39fe,d7e3,cabf,3b7e,fe8e,c9fb,ff07,f5dc
PAIR 2 9 OFFSET 6416 ROW_MASKS d1f7,1ef7,973f,bd73,6f3e,e3ed,f8ed,9f79,fb87,bf78,6ddb,7b8f,c7f9,7ed6,e6be,fcce
PAIR 2 10 OFFSET 6592 ROW_MASKS bbd5,dfd4,6777,bf1e,eee9,cfba,fe59,f52f,d9b7,51ff,73db,be3b,afe5,75ee,6cfe,9aef
PAIR 2 11 OFFSET 6768 ROW_MASKS fe8e,17fe,ea3f,f9f2,9cbf,ed4f,67f5,ddd9,f68f,e9d7,f3ec,9beb,3f3b,5ef5,2f77,f778
PAIR 2 12 OFFSET 6944 ROW_MASKS bb5b,f79a,ee6e,5cfb,b776,facd,eef2,73cf,2dfd,e7ad,eda7,d9be,d97d,5fb5,b7d3,1e7f
PAIR 2 13 OFFSET 7120 ROW_MASKS e5ee,d97e,3fbc,e8bf,fc5b,37f3,6ff4,b79e,76bb,c1ff,be4f,bfc5,ef1b,de6b,dbe5,5bf5
PAIR 2 14 OFFSET 7296 ROW_MASKS ec3f,7db9,c2ff,5bdd,aff2,fe66,f3ab,773d,7dd3,edd6,b37e,d7ab,1dfd,afce,dadd,be67
PAIR 2 15 OFFSET 7472 ROW_MASKS 3afd,e9f3,dcfc,fe4e,eaf3,f7b2,5fcb,eb6e,8dfe,b797,f35d,56ef,edad,9d7b,3f9d,7737
PAIR 3 4 OFFSET 7648 ROW_MASKS d47f,fe4b,c97f,b5be,b977,9f97,7e3d,cff4,7bc7,57cf,faf4,abfa,e5af,6fab,77d9,bef8
PAIR 3 5 OFFSET 7824 ROW_MASKS 2f3f,73af,fee4,bbf8,d9db,bf17,cdf6,5efa,eea7,de3d,9bdb,edce,f55d,f6e3,63fd,357f
PAIR 3 6 OFFSET 8000 ROW_MASKS de5e,f49f,ebad,6777,f573,bde3,abbd,babb,3bfc,f6da,bfcc,cbde,5f75,55f7,fe2b,4def
PAIR 3 7 OFFSET 8176 ROW_MASKS bd76,fad3,decd,ed6b,717f,d3dd,a5fd,3fa7,1fbe,fb63,eabe,5df9,c7bb,bed6,f72d,6ede
PAIR 3 8 OFFSET 8352 ROW_MASKS f9b5,cf76,3e7e,e7e9,cdf9,2eef,b6dd,e9fa,d7cb,df9c,1f6f,f3ce,795f,b6b7,7b37,fcb3
PAIR 3 9 OFFSET 8528 ROW_MASKS bd67,d2fe,acfe,f53d,577b,ebd5,f66b,6eb7,f3ba,4ff3,dfc6,abeb,3fdc,f91f,7cdd,9fad
PAIR 3 10 OFFSET 8704 ROW_MASKS 3b7b,7a3f,b7ea,b5d7,f92f,56df,aafd,ed5d,ddb6,f6ce,f735,6fe9,dbe3,bfb4,4edf,cdfa
PAIR 3 11 OFFSET 8880 ROW_MASKS fb17,d9de,b773,63fb,fce6,7fc3,4dfb,d67e,37be,afcd,beb5,cebe,daed,fd1d,736f,adf9
PAIR 3 12 OFFSET 9056 ROW_MASKS fab3,7ef1,f3e6,7db9,fb17,f7e8,1dfe,e776,87df,ee9d,2ebf,db4f,9d5f,eaeb,3ded,d57e
PAIR 3 13 OFFSET 9232 ROW_MASKS 75b7,b2fe,f65e,5f5e,5daf,6e7d,e9dd,fce6,fec5,1bfd,cbbb,8fbb,e5f5,f74b,bb73,bfaa
PAIR 3 14 OFFSET 9408 ROW_MASKS c7e7,71bf,35fe,cff4,7e1f,79bb,ef0f,b9eb,7f4d,c57f,baf6,dee9,eed9,fbd8,b6b7,9f76
PAIR 3 15 OFFSET 9584 ROW_MASKS 3f3b,f379,67ee,cf3b,fb8d,dea7,6f75,f1fa,b7d6,7adb,59fe,be57,e5e7,fc9d,9dee,8efd
PAIR 4 5 OFFSET 9760 ROW_MASKS f0ef,df74,77bc,fbc3,f3a7,5d5f,99bf,ef59,357f,763f,eef8,7ee9,afd6,afea,99df,ceb7
PAIR 4 6 OFFSET 9936 ROW_MASKS cf5e,36df,5bf3,6f9d,dd7c,e7a7,37dd,757b,bcbe,f6e6,f8e7,dbad,ee3b,dbda,bbe9,ad77
PAIR 4 7 OFFSET 10112 ROW_MASKS ee75,75b7,becb,af67,f9ea,95bf,fec9,db57,c3fd,cff2,7dce,dcbb,a77d,7a3f,3f9e,73fc
PAIR 4 8 OFFSET 10288 ROW_MASKS fb53,bcbb,f673,f6ea,aff4,47fe,db9d,3f1f,37dd,4f6f,eb7a,fcb5,b9cf,59fd,cfae,f4e7
PAIR 4 9 OFFSET 10464 ROW_MASKS e7ea,0ffb,d76d,deab,8dfe,d9ed,7ed9,6ef3,f9d5,bf5c,6e77,7797,f2b7,b79e,f92f,b97e
PAIR 4 10 OFFSET 10640 ROW_MASKS 75bb,dafc,57db,a7f3,d96f,eb2f,fa9b,aeaf,7ef4,fde4,9e3f,67dd,377e,ede3,d9de,bf55
PAIR 4 11 OFFSET 10816 ROW_MASKS f1db,c3ef,7cbb,de5d,aaef,d3fc,9bbb,7e75,b5fc,3efa,ef27,edd5,7f5a,cfa7,7dae,b757
PAIR 4 12 OFFSET 10992 ROW_MASKS 6bbe,dfc6,c5fd,7e7c,39bf,fea3,9b3f,aef9,fe56,7b5e,f4bb,1fed,e1ef,97d7,fd59,e7e3
PAIR 4 13 OFFSET 11168 ROW_MASKS 9f1f,e4fe,8def,37cf,ddb3,b6d7,79e7,fcec,ea3f,7ff0,db6d,3f5d,cafe,f3b9,7f53,e7ba
PAIR 4 14 OFFSET 11344 ROW_MASKS f95b,cff8,567f,f3f4,3ecf,d93f,6b9f,d5b7,fc75,aed7,d7ea,78fb,af6e,7fa9,a7bd,bfc6
PAIR 4 15 OFFSET 11520 ROW_MASKS abf3,cbfa,df27,6df9,76ed,dfd2,e59f,3bdb,fdc5,c6fe,39fd,9b7e,fe6c,7e97,f52f,b63f
PAIR 5 6 OFFSET 11696 ROW_MASKS f1eb,fd0f,7cde,7bf1,c6df,b9f5,bed5,dd67,3f7a,9f3e,e7dc,b6eb,6ebe,67bb,dbe5,cb3f
PAIR 5 7 OFFSET 11872 ROW_MASKS 7cbb,33fd,daf3,af9d,ffa4,e95f,74fd,9f5e,dec7,e7ea,cb6f,35f7,bdba,dbce,773b,ee75
PAIR 5 8 OFFSET 12048 ROW_MASKS ec7d,cbbd,fe96,fbb2,a7ee,b6f5,bfd2,d9eb,8ddf,1f6f,5cdf,f31f,6f6d,737e,f5e9,7eb3
PAIR 5 9 OFFSET 12224 ROW_MASKS fda9,dbce,fc1f,e4fb,27ef,5fb9,e8f7,7f66,bb73,e97d,579f,17f7,bf56,feaa,f2dd,8ffc
PAIR 5 10 OFFSET 12400 ROW_MASKS fb4e,ef3a,ebf2,dee5,b1df,d5af,babb,d59f,37f5,ceed,7e9d,5f7c,3df3,e75b,6d77,baee
PAIR 5 11 OFFSET 12576 ROW_MASKS f976,75af,ee79,6f5d,ed6e,d6f5,f3d6,f3d9,1f7d,4faf,dfc6,b8bf,d4df,3fea,beb3,abbb
PAIR 5 12 OFFSET 12752 ROW_MASKS 7f2e,9ef6,e1f7,7df1,dddc,8bfd,f2ed,fc37,e7da,f31f,8ffc,3f2f,75e7,fa9b,7ecb,8f7b
PAIR 5 13 OFFSET 12928 ROW_MASKS 97ed,7ed5,eed3,4f3f,77f2,e6bb,af3b,3bdb,deec,dad7,39ef,f96d,fd66,ed3e,f59d,93fe
PAIR 5 14 OFFSET 13104 ROW_MASKS 36fb,fa6b,b3db,fccd,b5d7,6e7d,f51f,f9ec,df36,efc6,8dfe,7fa9,5bf5,e73e,1aff,cfb3
PAIR 5 15 OFFSET 13280 ROW_MASKS fea9,36fd,c5bf,bf2b,bf72,eda7,b9f6,65fd,7ecd,b2fe,537f,cfd3,d95f,cbbe,fe4e,7fd1
PAIR 6 7 OFFSET 13456 ROW_MASKS 9bdd,76ee,7de9,7c3f,e6ee,5d77,c7af,bdda,f8b7,bf74,a3df,b776,dbad,de9b,6fd9,eb73
PAIR 6 8 OFFSET 13632 ROW_MASKS 4e7f,bf3c,bb67,fe72,72df,7fd4,a75f,b9de,f6b3,ecaf,47fd,6ddb,d7ab,f9ec,ddb3,9bed
PAIR 6 9 OFFSET 13808 ROW_MASKS fa9d,bd97,3fcb,dabe,4ffc,ae77,1fe7,5f3d,f3f8,afe6,f47b,f763,74fe,e5cf,fb1d,c9fb
PAIR 6 10 OFFSET 13984 ROW_MASKS d7dc,7d79,bf47,8bbf,9df6,beb3,e1ef,dbbc,bc77,77e3,d77c,69fe,ee2f,facb,77d9,6e9f
PAIR 6 11 OFFSET 14160 ROW_MASKS eece,b76e,bd3b,59bf,fb35,fd74,2bfb,3bd7,ded3,6dd7,e1fd,9f6b,76fc,f6ad,cecf,d7ba
PAIR 6 12 OFFSET 14336 ROW_MASKS 56ef,6cbf,f3d6,8ffa,5bfc,fed1,f95e,af67,f93b,ffa1,c6ef,ba6f,7737,bdd9,5fbc,a5df
PAIR 6 13 OFFSET 14512 ROW_MASKS be73,9b7d,edf8,e7a7,fbd8,79fc,e7e6,7d4f,ce3f,d9f3,36df,3fab,dccf,9fbc,f31f,66f7
PAIR 6 14 OFFSET 14688 ROW_MASKS ec9f,2bfe,9ff4,b7cb,fd3a,deb6,a75f,5bdd,9be7,fc6d,679f,fae3,6eeb,71fd,df33,f57c
PAIR 6 15 OFFSET 14864 ROW_MASKS 8dfb,ad9f,d78f,6afd,d2ef,7e67,bb9d,bb5d,8fee,f7b8,65f7,dd7a,7e37,7f63,f9f8,f6d6
PAIR 7 8 OFFSET 15040 ROW_MASKS c73f,fb66,2faf,763f,7ed6,eb79,fdd2,7b8f,7bd9,9f79,f5c7,dceb,8dfd,b5be,e6fc,9af7
PAIR 7 9 OFFSET 15216 ROW_MASKS 57ed,e7f2,ea7b,b3de,bbe3,f96d,cff4,da3f,ffa8,7cbd,2fd7,973f,7cd7,6cfe,9d9f,f74b
PAIR 7 10 OFFSET 15392 ROW_MASKS 36fb,6dd7,b96f,dfac,d3f5,f4ee,f45f,afb3,fadc,5edb,eb3b,bdb5,df78,6be7,0fdf,f72e
PAIR 7 11 OFFSET 15568 ROW_MASKS 5f73,cafd,fd36,3fab,779d,7ee6,7a6f,c5df,bee9,c8ff,bfac,a7d7,fd74,fb1b,c3df,b5fa
PAIR 7 12 OFFSET 15744 ROW_MASKS 66df,ed6b,dceb,5fdc,f23f,ffa4,3c7f,a7f3,2efb,dfca,d3f5,dddc,bb37,af67,f99e,73bd
PAIR 7 13 OFFSET 15920 ROW_MASKS bedc,77bc,aded,fb17,3df6,f733,ef78,d7e3,e69f,cbfa,c9df,9aef,58ff,7d79,76e7,bf0f
PAIR 7 14 OFFSET 16096 ROW_MASKS 77ba,e8fd,7a7b,af67,ebad,9bbd,b767,dcdd,5ef9,6fda,f4d7,dbea,cd7e,b5d7,ff26,379f
PAIR 7 15 OFFSET 16272 ROW_MASKS af75,73de,fc6b,7ece,17ef,b3d7,fc79,767e,cbee,c5bf,fda5,eb9b,deb3,bf3c,7bd5,8dfb
PAIR 8 9 OFFSET 16448 ROW_MASKS 3fba,d7e5,eba7,7cf5,bcde,ce7e,477f,a5fe,3deb,f9d3,fae9,de9d,ff2c,fb17,577b,a3df
PAIR 8 10 OFFSET 16624 ROW_MASKS 2bdf,759f,cfbc,df33,f6cb,7dc7,1ffc,ba7b,deec,357f,fabc,baf5,ed5b,df27,e3eb,e5f6
PAIR 8 11 OFFSET 16800 ROW_MASKS fd56,77e9,3fe6,dbf8,13ff,b6fa,c37f,fb9c,be3b,dd57,bd8f,64ff,6e77,cef5,ebab,fd8d
PAIR 8 12 OFFSET 16976 ROW_MASKS ed9b,cbee,9e5f,f6f8,75bd,e6d7,7af5,3ee7,dbea,379f,e97b,ad5f,bf36,5d7d,dfa6,f3e9
PAIR 8 13 OFFSET 17152 ROW_MASKS e9b7,7c7b,7fc9,6f4f,f2eb,e27f,efe4,1ffa,dcbe,e9bd,bb5d,b77c,d7b6,df8b,9dd7,36f7
PAIR 8 14 OFFSET 17328 ROW_MASKS 9d9f,e74f,eb6d,deb9,de7c,3b77,75ed,cbdb,fdf0,b5db,e36f,7e9e,beb6,36bf,4bf7,fde2
PAIR 8 15 OFFSET 17504 ROW_MASKS 697f,eb3b,bafc,b6cf,2fed,fbd2,7f95,b57d,dcbe,96fb,5f5b,59f7,eeec,e7da,fd27,d7a7
PAIR 9 10 OFFSET 17680 ROW_MASKS d677,ef35,7ab7,d6bb,b9fc,3f67,7c6f,f27b,8f9f,fdca,f1db,9dfa,afdc,6fcd,cbb7,77ec
PAIR 9 11 OFFSET 17856 ROW_MASKS 7f1e,75af,eead,37f9,f967,6afb,ef53,b5e7,bb5d,5fce,ced7,9bbd,f0fe,dfb2,e4fb,9f7c
PAIR 9 12 OFFSET 18032 ROW_MASKS f2b7,7e7a,53f7,db4f,ed79,eeb5,6d5f,bf8e,b5ee,e3fc,5de7,8f9f,7abb,9f79,f7c9,bcf6
PAIR 9 13 OFFSET 18208 ROW_MASKS df1b,77b6,cabf,fe47,b773,9abf,bbe9,3eed,f4dd,bfd4,c9fe,776e,e9bd,f57a,6ddb,4fe7
PAIR 9 14 OFFSET 18384 ROW_MASKS d5be,9d5f,75f6,cfc7,be6b,6bf5,dd8f,f6ae,fc79,bbda,ebf8,b775,6b5f,6bbb,76e7,9ebd
PAIR 9 15 OFFSET 18560 ROW_MASKS b9f3,9de7,5f9e,dbcb,ea7d,db73,f4b7,7ee9,e6be,3fec,2fde,d69f,e56f,e5fc,3b7d,ff13
PAIR 10 11 OFFSET 18736 ROW_MASKS b3f5,f7c3,ef56,a67f,faf8,77e6,5dde,b77a,e8fb,fea9,79b7,7aaf,8dfd,1f3f,cd5f,df8d
PAIR 10 12 OFFSET 18912 ROW_MASKS 4d7f,379f,acbf,e7ea,eeba,5fe5,f5ec,f8f3,3bed,bb57,9d77,72bf,f7a9,fb5c,de5b,cfd6
PAIR 10 13 OFFSET 19088 ROW_MASKS bfa9,7eda,b9f9,d73e,5cdf,ebe9,b95f,e57e,ba7d,f7a6,6fc7,c76f,65fe,9eb7,feb1,5bd7
PAIR 10 14 OFFSET 19264 ROW_MASKS 99ef,f63b,f763,e76d,a9fe,3eaf,3adf,3cfd,d3f6,f7b8,fcf2,cf9e,fb55,4fdd,ed37,5fcb
PAIR 10 15 OFFSET 19440 ROW_MASKS 4def,9f5b,c97f,d63f,f3e9,ef87,7bf2,add7,beb5,ae7b,f3bc,ddea,7ebc,76d7,776d,b9de
PAIR 11 12 OFFSET 19616 ROW_MASKS 37db,eaed,c5fb,6f75,bb7c,9b3f,7e37,adde,f1db,b6ed,5fec,f69b,dcee,dbf2,eda7,7f17
PAIR 11 13 OFFSET 19792 ROW_MASKS 797e,e5e7,faf8,d67e,1ff5,e79b,ecfa,cfcd,aebb,bb37,3ded,9bd7,f7a6,fa3d,5fcb,755f
PAIR 11 14 OFFSET 19968 ROW_MASKS babe,6b7d,ddcd,b757,ecfa,367f,cdfa,fd47,37db,f2af,dbf4,fe95,6bf3,d5ed,af2f,5fba
PAIR 11 15 OFFSET 20144 ROW_MASKS 5b9f,b6fa,efe1,27fe,cdf5,5cef,ead7,f375,db6e,f9cb,be2f,e77a,7fb4,be9b,bd5d,55bf
PAIR 12 13 OFFSET 20320 ROW_MASKS af9e,9d7e,376f,5fd9,dcf5,e7b9,d9bb,e9ee,e577,ff51,7abe,babb,72ef,ced7,f74d,3fe6
PAIR 12 14 OFFSET 20496 ROW_MASKS 7bd5,ed6e,b6fc,eec7,fc3b,19ff,f85f,3fd3,e75e,d6be,1ff3,b7bc,f72b,4fed,f9a7,cbf9
PAIR 12 15 OFFSET 20672 ROW_MASKS b37b,bbf8,4f7b,63fd,f6e5,feaa,bdf4,fb1b,bc6f,5cdf,75d7,c6bf,df8e,7d7c,abb7,cfc7
PAIR 13 14 OFFSET 20848 ROW_MASKS db9b,5f1f,e6db,fc6e,6bf5,ceed,73f6,35fb,f9ba,afa7,8df7,775d,becd,9f3d,fe72,f1ee
PAIR 13 15 OFFSET 21024 ROW_MASKS dde3,ddf8,fad9,b76e,f49f,d2fd,9dd7,3777,6eaf,1f77,efb2,7ccf,efa9,e37e,6bfc,bb1f
PAIR 14 15 OFFSET 21200 ROW_MASKS dfca,cdcf,4bbf,f1dd,f5b3,3f5d,3afd,eeae,ee75,b7e6,deba,b5eb,7e3e,fd59,c3f7,3b77
PAIR_DATA_END
Give your final answer inside &lt;answer&gt;&lt;/answer&gt; tags, as one JSON array
containing exactly 136 integer global selection-vertex IDs.
Example of the required syntax (not a solution): &lt;answer&gt;[0,16]&lt;/answer&gt;
Output nothing else inside the tags.</t>
        </is>
      </c>
      <c r="L24" s="6" t="inlineStr">
        <is>
          <t>[3, 16, 40, 55, 71, 84, 99, 114, 141, 145, 160, 178, 198, 215, 224, 246, 289, 471, 647, 822, 995, 1171, 1346, 1530, 1698, 1873, 2050, 2229, 2405, 2577, 2757, 2901, 3076, 3253, 3428, 3602, 3778, 3960, 4129, 4304, 4481, 4660, 4837, 5008, 5187, 5454, 5629, 5803, 5977, 6153, 6338, 6505, 6680, 6858, 7037, 7213, 7384, 7565, 7729, 7903, 8079, 8255, 8437, 8606, 8781, 8958, 9137, 9313, 9485, 9665, 9839, 10015, 10191, 10375, 10542, 10717, 10894, 11073, 11249, 11421, 11601, 11743, 11916, 12101, 12269, 12444, 12621, 12799, 12976, 13148, 13327, 13491, 13673, 13841, 14017, 14195, 14373, 14549, 14721, 14902, 15072, 15239, 15414, 15591, 15770, 15947, 16118, 16298, 16592, 16767, 16944, 17124, 17298, 17471, 17650, 17691, 17869, 18047, 18223, 18395, 18575, 18737, 18918, 19091, 19264, 19445, 19643, 19818, 19990, 20168, 20391, 20562, 20741, 20925, 21106, 21202]</t>
        </is>
      </c>
    </row>
    <row r="25">
      <c r="A25" s="2" t="inlineStr">
        <is>
          <t>2110.05917</t>
        </is>
      </c>
      <c r="B25" s="2" t="inlineStr">
        <is>
          <t>On complexity of substructure connectivity and restricted connectivity of graphs</t>
        </is>
      </c>
      <c r="C25" s="2" t="inlineStr">
        <is>
          <t>graph structures</t>
        </is>
      </c>
      <c r="D25" s="3" t="inlineStr">
        <is>
          <t>https://arxiv.org/abs/2110.05917</t>
        </is>
      </c>
      <c r="E25" s="2" t="inlineStr">
        <is>
          <t>hard</t>
        </is>
      </c>
      <c r="F25" s="2" t="inlineStr">
        <is>
          <t>{"n": 384, "degree": 3}</t>
        </is>
      </c>
      <c r="G25" s="4" t="inlineStr">
        <is>
          <t>yes</t>
        </is>
      </c>
      <c r="H25" s="5" t="n">
        <v>26995</v>
      </c>
      <c r="I25" s="2" t="inlineStr"/>
      <c r="J25" s="5" t="n">
        <v>116</v>
      </c>
      <c r="K25" s="6" t="inlineStr">
        <is>
          <t>Non-Monotone 2-3Sat witness problem
There are 384 Boolean variables, numbered 1 through 384 (1-indexed).
A positive literal +i is true exactly when variable i is true; a negative
literal -i is true exactly when variable i is false. A clause is an OR:
it is satisfied when at least one listed literal is true. Satisfy every
clause simultaneously. Each line below is one clause; literal order and
clause order have no meaning. Variables within a clause are distinct.
Every clause has two or three literals, and every three-literal clause
contains at least one positive and at least one negative literal.
Clauses (1536):
C1: +234 -23
C2: +80 +12
C3: +20 -334 +262
C4: +16 -142
C5: +143 +266
C6: +118 +256 -2
C7: +372 +27
C8: -103 -101
C9: +62 -367
C10: +188 +270
C11: +310 -330
C12: -196 +285
C13: -154 +329
C14: +125 +279
C15: +228 -35
C16: -45 +379
C17: +267 +97
C18: -203 +341
C19: +346 -158
C20: -252 -58
C21: +36 -163
C22: +199 +178
C23: +183 -352
C24: -102 -281
C25: -37 -339 +72
C26: -137 -328
C27: +131 -127
C28: +203 -232 -370
C29: -290 +347
C30: -180 +123 -360
C31: -41 -279 +137
C32: +57 -258
C33: +375 +293
C34: -355 -201
C35: -259 +88
C36: +51 -252
C37: -80 -12 +116
C38: -339 -63 +358
C39: -121 +221
C40: -161 +236
C41: +114 -306
C42: +334 -262
C43: -213 -7
C44: -256 +233
C45: +227 +61
C46: +309 -213
C47: +62 -321
C48: +110 -169
C49: -148 +350
C50: -266 +38 -143
C51: -72 -269
C52: +246 -122
C53: +360 +180
C54: +157 +138 -382
C55: -218 +362
C56: -381 -3
C57: +236 +168
C58: -281 -119
C59: -156 +217
C60: -78 -253
C61: -259 +329
C62: +357 -101
C63: -40 -224 +68
C64: +346 -352
C65: -339 +337 +223
C66: -216 -47
C67: -97 +313 -346
C68: +176 -151
C69: -241 +207 -229
C70: -166 +171
C71: -115 +292 -302
C72: -170 -89
C73: -119 +155
C74: +226 +344
C75: -220 -106 +277
C76: -94 +299
C77: -123 +180
C78: -309 -175 +320
C79: -158 +284
C80: +271 +13
C81: +13 +125
C82: -254 +110
C83: -375 +72 +269
C84: +380 -217 +99
C85: -9 +315 -274
C86: +164 +84
C87: -225 +327
C88: +133 +78 -55
C89: -358 -239
C90: -163 +160
C91: +325 +338
C92: -13 +22 -271
C93: +13 -206
C94: +289 -281
C95: +216 +319 -305
C96: +256 -233 +163
C97: +158 +44 -54
C98: -146 +266
C99: +343 -240
C100: -155 +281 +119
C101: +345 +192
C102: -56 +300
C103: +199 -313
C104: +301 +268
C105: +293 -292
C106: -262 +224
C107: -258 +302
C108: -273 +249
C109: -283 -111 +123
C110: -371 +8
C111: -242 +317
C112: +280 -37 -65
C113: -23 +323
C114: +344 +302
C115: +219 +210
C116: +308 -82
C117: -247 +192
C118: -87 -314
C119: +1 +92
C120: +297 -6
C121: +267 +379
C122: +22 +113 -345
C123: +274 +71
C124: +74 -349
C125: -180 +133 -268
C126: -320 +39
C127: -86 +301
C128: -326 -172 +187
C129: -93 +179
C130: +215 +43
C131: +125 -132
C132: -117 -374
C133: +54 -238
C134: +143 -383
C135: -173 +290 -226
C136: +194 -62 +64
C137: +88 -371
C138: +130 -98
C139: +265 -136
C140: +288 +345
C141: +189 -171 +174
C142: -194 -151
C143: -38 +109
C144: +93 +352 -85
C145: +248 -25
C146: +317 -141
C147: -119 -214
C148: -137 +226
C149: -86 +232
C150: -383 +309
C151: -170 -377
C152: -308 +93 +78
C153: +332 +327
C154: +243 +283
C155: +33 +240 -336
C156: -146 +294
C157: -260 +363
C158: -26 +75
C159: +309 +175
C160: +115 +232
C161: -345 +169 -192
C162: -212 +310
C163: +27 -118
C164: -381 -374
C165: +300 -196
C166: +226 +173
C167: +165 -145
C168: +197 -161
C169: +79 -203
C170: -45 -353
C171: -181 -367
C172: -129 +340
C173: -114 +306 -265
C174: +133 -284 +158
C175: +10 +34 -233
C176: +222 -245
C177: -158 -33
C178: -211 -186 +195
C179: +284 -133
C180: -247 +361
C181: +7 -310 +166
C182: -227 -343 +240
C183: +225 -340 -237
C184: +327 +373
C185: +27 -45
C186: +11 -156
C187: -30 +16
C188: +76 -282
C189: -366 -131 +354
C190: -282 +124
C191: -269 -151
C192: -129 +323
C193: -250 +59
C194: +333 -46
C195: -169 +325
C196: +232 -272
C197: +326 -348
C198: -370 +200 -307
C199: -123 +111
C200: -286 +290 -186
C201: -89 +249
C202: -330 -212
C203: -354 +366
C204: -2 -365 +371
C205: -202 -42 +46
C206: -121 +365
C207: +106 -122
C208: +176 -100
C209: +60 +365
C210: -287 +136 -323
C211: -39 +204 -360
C212: -102 +300
C213: -91 -58
C214: +68 -302 -316
C215: -7 +128
C216: -119 +178
C217: +275 +307
C218: -292 +29
C219: -214 +8
C220: +220 -272
C221: -78 +55
C222: +336 -240
C223: +20 +321 -62
C224: -197 +259 -193
C225: -117 +271
C226: -169 +186
C227: +227 -240
C228: -224 -251 +262
C229: -300 +281 +102
C230: -33 +92
C231: -250 +76
C232: +329 +335
C233: -174 +164
C234: +229 +241
C235: -160 +163 -36
C236: +378 -288 -257
C237: -260 +231
C238: -120 -117
C239: -127 +372
C240: -132 +80
C241: +343 -46
C242: -204 +36
C243: -352 -148
C244: +287 +144
C245: -230 -139
C246: -363 +6 -297
C247: -79 -131 +134
C248: +215 -313
C249: +253 +78 -85
C250: +106 +231
C251: +79 +131
C252: -243 +259 -88
C253: -263 -367
C254: +332 -108
C255: +167 +168
C256: +47 +216 -5
C257: +73 -247
C258: +301 -98
C259: -272 +185
C260: -107 -342 +38
C261: +98 -130 -14
C262: -52 +376 +189
C263: -81 +237
C264: -384 -194
C265: -202 +23 -323
C266: -358 +63
C267: +2 -118
C268: -342 +354 -61
C269: -250 +63
C270: -72 +312
C271: -169 +192
C272: -152 +275
C273: -261 +119 +214
C274: +291 +253 -140
C275: -189 +52
C276: -253 -291
C277: -368 +51
C278: -177 +299
C279: -292 +74
C280: -120 +359
C281: +294 +192
C282: +147 -194
C283: +369 -191
C284: +145 -303 -57
C285: +190 -100
C286: -38 +266
C287: +353 -356 +47
C288: -358 +176
C289: +333 -355
C290: -142 +231
C291: -195 +211
C292: -127 +173
C293: +97 -23
C294: +8 -117
C295: -225 +243
C296: -254 -238
C297: +105 +295
C298: -49 -14 +315
C299: -274 +67 -211
C300: -321 +155
C301: +90 -378
C302: -123 +360
C303: +286 -23
C304: -150 -319
C305: +285 -328
C306: -17 -34
C307: -94 +176
C308: -384 -6
C309: -129 +178
C310: +208 +326
C311: +335 -26
C312: +109 +303
C313: +246 +24
C314: +357 -170
C315: -199 +195 -178
C316: +83 -191
C317: +257 -304
C318: +339 -223
C319: -15 +57
C320: +248 +143
C321: -291 -72
C322: +172 +90
C323: -105 -287 +177
C324: +227 -20
C325: -254 +345
C326: -291 +140
C327: -228 -135 +15
C328: +75 -98
C329: +89 -249 +273
C330: -60 +304 -40
C331: +88 -277
C332: -225 +283
C333: -7 -166
C334: +175 -235
C335: -168 +86 -234
C336: +336 -33
C337: -281 +300
C338: -75 +26 -221
C339: -112 +28
C340: +295 -245
C341: -374 +140
C342: -277 +210
C343: -260 +293
C344: -294 -192 +68
C345: +232 +370
C346: +120 +384 -359
C347: -116 +90
C348: -213 +105
C349: -308 +189 +328
C350: -64 -194
C351: -134 +97
C352: -367 -138
C353: +268 -133
C354: +5 -351
C355: +373 +310
C356: -140 +151 +374
C357: -383 -204
C358: -353 -47
C359: +186 +211
C360: +264 +53 -69
C361: -195 +199
C362: -314 +21
C363: -275 -307 +152
C364: +339 -72
C365: -364 +144
C366: +209 -44
C367: -191 -381
C368: -66 +147
C369: -340 -4 +318
C370: +234 -86
C371: -317 +19 +216
C372: -216 +5
C373: +224 +251
C374: -145 +12
C375: -152 +303
C376: -285 +328 +137
C377: -128 -41 +99
C378: +228 -282
C379: -141 +219
C380: +149 +219
C381: +92 -182
C382: +382 -10
C383: -100 -94
C384: +2 -371
C385: -376 -348
C386: -275 -198 +81
C387: -219 +277 -210
C388: +77 -161
C389: -333 +355 +46
C390: +95 -21 +377
C391: -282 +231
C392: +316 +228
C393: -48 -57 +15
C394: -240 +299
C395: +232 -203
C396: -82 +5
C397: +9 -112
C398: +340 +237
C399: -1 +30 -286
C400: -54 +117 +120
C401: +54 -120
C402: -20 -262
C403: -239 -328
C404: -87 +69
C405: +223 +191 -83
C406: +212 -179 +331
C407: -292 +115
C408: +266 -112
C409: +310 -7
C410: +180 +211
C411: +71 -306
C412: +326 +172
C413: -196 -93
C414: +199 -6
C415: +124 -378
C416: +69 -22
C417: +126 -304
C418: +105 +287
C419: +278 -148
C420: +45 -27 +53
C421: -34 +375
C422: +83 -238
C423: +283 +77
C424: -320 +309
C425: -184 +338
C426: +38 -109 -303
C427: +129 -323 -340
C428: +289 -18
C429: +211 -67
C430: +267 +341
C431: +4 -318
C432: +50 -195
C433: -384 +297
C434: -119 +356
C435: -123 +283
C436: +256 +139 -80
C437: +202 +42
C438: -280 +65
C439: +226 -290
C440: -175 -365 +121
C441: -289 +181 +66
C442: +73 -306
C443: +185 +9
C444: -82 +4
C445: +131 +130
C446: +5 -182
C447: -325 +311 +169
C448: -120 -242
C449: -17 -254
C450: -187 +54
C451: -98 +180
C452: +126 -53
C453: +96 -368
C454: +130 -272
C455: +301 +205
C456: +3 -369 -41
C457: +313 -362 -199
C458: +114 -331
C459: -189 -328
C460: -121 +372
C461: +147 -18
C462: -214 +278
C463: +232 +49
C464: +58 -379 +141
C465: +279 -132
C466: -47 +5
C467: +45 -379 -267
C468: +192 -68
C469: -79 +118 -27
C470: -66 -181
C471: +96 -291
C472: -274 +162 -71
C473: +369 +244
C474: -95 +336
C475: -188 -43 +318
C476: -126 +383 +204
C477: -146 +61
C478: +104 -127
C479: +24 -136
C480: +289 -66
C481: +221 -235
C482: -93 +308
C483: +4 -154
C484: -341 -267 +203
C485: -230 +222
C486: +364 -287 -144
C487: +13 -247
C488: -376 +333
C489: -153 +108 -244
C490: -354 +335
C491: -289 +18 -210
C492: -200 +370
C493: +88 +243
C494: +316 +302
C495: -87 -22
C496: +57 +48
C497: -91 +171
C498: -311 +347
C499: -145 +198
C500: +110 +186
C501: -81 +241
C502: -18 -181
C503: +172 -112
C504: +264 -336 +184
C505: -242 +60
C506: -184 -159
C507: -350 +148 -167
C508: +17 -359 +159
C509: +140 -46
C510: -51 -143 +383
C511: +183 -252
C512: +7 +157 -128
C513: -228 -316 +35
C514: -206 +361
C515: -236 -298 +280
C516: -335 -198 +354
C517: +233 -212
C518: +41 +369
C519: +237 +370
C520: +340 -225
C521: +89 +170 -305
C522: +359 -358
C523: +175 -320
C524: -29 +26 -109
C525: +221 +63
C526: +96 -242
C527: +59 +114
C528: -159 -17
C529: +278 -103
C530: -223 +284
C531: -95 +21
C532: +322 +173
C533: -81 +248
C534: -43 +311 -215
C535: +187 -190 +377
C536: -89 +305
C537: -68 +224
C538: -384 -120
C539: +48 -355
C540: -290 +286
C541: +258 -59 -57
C542: +241 +85
C543: +233 -34
C544: +145 -165 -198
C545: +185 +246
C546: -189 +171
C547: -304 +135
C548: -108 +104
C549: -262 +251
C550: -259 +347
C551: -206 +327
C552: -13 -11 +247
C553: +152 -303 -160
C554: -136 +287
C555: +320 -190 +100
C556: +76 +322
C557: +75 +266
C558: +155 +316
C559: -235 +344
C560: +229 -207
C561: +310 -273
C562: +382 -353
C563: +27 +79
C564: +224 -223
C565: +237 -134
C566: -58 -141
C567: +330 -105 -295
C568: -106 -246 +122
C569: -214 -103
C570: -346 +33 +158
C571: +92 +334
C572: +248 +241
C573: -161 +283
C574: -70 +372
C575: -288 +254 -345
C576: +198 +335
C577: +272 -232 -49
C578: +167 -201
C579: +11 +261
C580: +65 -196
C581: +229 -276
C582: -97 -295 +23
C583: -233 +380 +212
C584: -361 -115 +142
C585: +30 -16 -84
C586: -8 +214 +117
C587: +199 +251
C588: -354 +198
C589: +74 -235
C590: -35 +168
C591: -261 +201 -167
C592: -294 +206 -327
C593: +1 +343
C594: -322 +349 -74
C595: -17 +350
C596: -314 +55
C597: +196 +56 -300
C598: -276 +219
C599: -158 -133
C600: +80 -139
C601: -226 +137 -52
C602: +379 -141
C603: +308 -328
C604: -72 +375
C605: +287 +323
C606: +52 -376
C607: -26 +109
C608: +244 +49
C609: +42 -47
C610: -145 +303
C611: -333 +348 +376
C612: -19 +110
C613: -87 +21
C614: +108 -332 -265
C615: +116 +304 -126
C616: -277 +219
C617: +123 -37 -296
C618: +135 -103
C619: +302 -68
C620: -156 +261
C621: +347 +329
C622: +331 +330 -268
C623: -147 +66 +201
C624: -330 +295
C625: -18 -273
C626: +299 +77
C627: -99 +128
C628: -189 -174
C629: -19 +243
C630: +323 +340
C631: -155 +321 -316
C632: -255 -59 +250
C633: +231 +9
C634: -20 -321
C635: +255 -364
C636: -205 -73 +146
C637: +15 -52 +138
C638: -379 +103 +150
C639: +382 -157
C640: +271 -22
C641: -159 +362
C642: +159 -362 +184
C643: +220 +106
C644: +39 -324
C645: +274 -67
C646: +278 -352
C647: -349 +322
C648: +227 -91
C649: -306 +24
C650: -163 -256
C651: +124 -31
C652: -30 +286
C653: +319 -32 +150
C654: -26 +221
C655: +365 -242
C656: +52 -138
C657: -380 +233
C658: -162 +185
C659: +135 +228
C660: +140 -253
C661: -187 +190
C662: +270 -154
C663: -151 -374
C664: +366 +255
C665: +193 +373
C666: +285 -262
C667: +63 -121
C668: +96 +270
C669: +20 +91 -227
C670: +327 +294
C671: -138 +382
C672: +49 -272
C673: +243 +32
C674: -281 +155
C675: -163 -324
C676: +82 -209 +44
C677: -187 -238
C678: +55 -157
C679: -152 +160
C680: +384 +6 -297
C681: +4 +210
C682: -176 +94 +100
C683: -364 +363
C684: +22 +87 -69
C685: -259 +197
C686: +249 -377
C687: -313 +97
C688: +84 +309
C689: -246 +136 -24
C690: -281 -94
C691: -81 +198
C692: +337 -298 -60
C693: -282 +338
C694: +3 -334 -109
C695: -250 +234
C696: +183 +251
C697: +369 -3
C698: -203 +267
C699: +336 -184
C700: -324 -204
C701: +218 +101 -357
C702: -311 +215
C703: +202 -250
C704: +104 +160
C705: +75 -112
C706: +200 -71 -360
C707: +362 +199
C708: +338 +124
C709: +362 -184
C710: +334 +109
C711: -247 +296
C712: -193 -237 +134
C713: +234 +286
C714: +13 -22
C715: -166 +176
C716: +30 -1 -92
C717: -235 +327
C718: +229 -154
C719: +372 +50
C720: -381 +209
C721: -372 +127 -104
C722: -152 +344
C723: -308 -4 +82
C724: +278 -337
C725: +296 +192
C726: +213 -309 +383
C727: -185 +112 -9
C728: +333 +335
C729: +16 -67
C730: +52 -15
C731: -39 +324 +320
C732: -45 +267
C733: +55 -118
C734: +160 -108
C735: -321 +316
C736: -67 +208
C737: +130 -127
C738: +382 -319
C739: -280 +298
C740: +361 +144
C741: -20 +334
C742: -378 +11
C743: -42 +47 -220
C744: -123 +37
C745: -374 +209
C746: +169 -186 -110
C747: +204 -36 +324
C748: -73 +247 -361
C749: +335 -218
C750: -70 +278
C751: +49 +14
C752: -361 +206 -144
C753: -250 +255
C754: +296 -127
C755: -157 -7
C756: +61 +266
C757: +168 -86
C758: -335 +26 -329
C759: -187 +326
C760: -10 -156
C761: +188 -67
C762: +333 -348
C763: -223 -337
C764: +72 +291 -312
C765: +149 -161
C766: +29 -26
C767: +359 -17
C768: -343 -1 +122
C769: -353 +356
C770: -337 +339
C771: -145 +366
C772: +107 +144
C773: +9 +274
C774: +334 -33
C775: -185 -246 +162
C776: +80 -368
C777: -135 +101 +103
C778: -68 +294
C779: -44 -158
C780: -122 +1
C781: -276 +77
C782: -30 +92
C783: +69 -53
C784: +347 +8
C785: -66 +155
C786: +298 +197
C787: -248 +25 -215
C788: -375 +355 +201
C789: -377 -95
C790: -378 +172
C791: +363 +341
C792: +332 +16
C793: -64 +62
C794: +105 -330
C795: -324 +21
C796: +268 -263
C797: +160 +303
C798: +111 +294
C799: +374 +117 -271
C800: -380 -99
C801: +8 -311
C802: -255 +102 +364
C803: +305 -319
C804: -108 +244
C805: +105 -7
C806: +59 -258
C807: +208 -260
C808: -368 -132
C809: +128 +41
C810: -12 +145 -366
C811: +14 -98
C812: +205 +229
C813: -10 +299
C814: -187 +172
C815: +205 -146
C816: +167 +350
C817: -173 -296 +127
C818: -3 +334
C819: +79 +257
C820: +220 +43
C821: -140 +46 -343
C822: +378 -11 -124
C823: -191 +83
C824: -166 -358
C825: +161 -28 -236
C826: +188 +43
C827: +357 -218
C828: -256 -139
C829: -306 +270
C830: -264 +336
C831: -70 +27
C832: -124 -338 +282
C833: -329 +259 -347
C834: +241 -207
C835: +257 -203
C836: -13 -125 +206
C837: +128 -113
C838: +218 -362 +321
C839: -31 +90
C840: -260 +9
C841: +50 -121
C842: +50 -122
C843: -180 +98 -211
C844: -369 +151 +269
C845: +135 +257
C846: -51 +252 +376
C847: -90 -356 +116
C848: -206 +294
C849: +291 +368 -96
C850: +153 +347
C851: +69 -264
C852: +366 +131
C853: +359 -384
C854: +40 +60
C855: +361 +73
C856: +10 -299 +94
C857: +42 -46
C858: -142 +361
C859: +183 -142
C860: +60 -337
C861: +312 -291
C862: -280 +236
C863: -374 +271
C864: -366 -255 +245
C865: +214 +103 -278
C866: -351 -182
C867: -212 +179
C868: +154 -329 -229
C869: -174 +104
C870: +298 +60
C871: -200 +360
C872: +342 -38
C873: -83 +191 +381
C874: +23 -286 -234
C875: -183 -251 +252
C876: +124 +11
C877: +174 -104 -32
C878: -174 +32
C879: +309 -351
C880: -53 -264
C881: -58 +357
C882: -108 +265
C883: -94 -10
C884: +248 +215
C885: -102 +326
C886: -280 +37
C887: +367 +263 -39
C888: +12 -260
C889: -78 -133
C890: -29 -74 +292
C891: -150 +164
C892: -134 +267
C893: +351 -309 -84
C894: +130 +14
C895: +323 +202
C896: -38 +107
C897: +84 -30
C898: +27 -53
C899: -320 +190
C900: +340 +4
C901: +28 -207
C902: +340 -318
C903: -346 +352 -183
C904: -299 +240 -77
C905: -279 -40 +25
C906: -138 -157
C907: -164 +150 -42
C908: +153 +244
C909: -331 -212
C910: -185 -130 +272
C911: +75 +221
C912: +325 -44
C913: +73 -146
C914: -318 +188
C915: -327 -373 +235
C916: -139 +297
C917: +80 -256
C918: -262 -351
C919: -200 +59
C920: -315 +274
C921: -178 -111 +129
C922: -154 +210
C923: -56 +83
C924: +225 -332 -327
C925: +299 -113
C926: -35 +275
C927: +378 -172 -90
C928: +295 +307
C929: +360 +39
C930: +179 -273
C931: -98 +211
C932: -144 +207 -107
C933: -349 -230
C934: -177 -113
C935: +190 -159
C936: +317 +341
C937: +96 -132
C938: -194 +176
C939: +372 +104
C940: +275 +198
C941: +245 -342 -222
C942: -56 -238
C943: +107 -207
C944: -267 -97 +134
C945: +272 -43 -220
C946: -38 +143
C947: +54 -44
C948: -317 -341 +242
C949: -235 +373
C950: -148 +167
C951: +130 +185
C952: +112 -28 -172
C953: -136 +323
C954: -380 +284
C955: -2 +64 +182
C956: -23 +202
C957: +367 +181 -36
C958: +71 +360
C959: +268 +180
C960: +288 +257
C961: -86 +205
C962: +255 -245
C963: -373 +273 -310
C964: +221 +344
C965: -289 +94 +281
C966: +300 -239
C967: +40 -304
C968: -26 +329
C969: -276 +149
C970: +234 +202
C971: +48 -17
C972: +179 -18
C973: -31 +248
C974: +2 -64
C975: +262 +351 -285
C976: -241 +139 -85
C977: +69 -3
C978: +61 -87
C979: -312 -88 +371
C980: +193 -315
C981: +336 -56
C982: +316 -68
C983: +371 +314 -8
C984: +286 +186
C985: +238 -54 +187
C986: -93 -352
C987: +193 +197
C988: -348 +271
C989: -12 -363 +260
C990: -237 +81 -370
C991: -257 +203 -79
C992: -118 -91
C993: -311 +325
C994: +287 -177
C995: +312 -70
C996: -61 -266 +146
C997: -170 -100
C998: +233 -10
C999: +82 -5 +269
C1000: -240 +77
C1001: -311 -169
C1002: -84 +129 -164
C1003: -230 +297
C1004: +197 -31
C1005: +188 -154
C1006: -347 +290 -153
C1007: -71 +306 -270
C1008: -132 +270
C1009: +162 -49 -244
C1010: +342 +107
C1011: +298 +236
C1012: +79 -118
C1013: +9 -315
C1014: -28 +207 -29
C1015: -348 -253
C1016: +251 -252
C1017: +233 -163
C1018: -138 +62
C1019: -189 +308
C1020: -24 -325 +44
C1021: -149 +276 -219
C1022: -19 +317
C1023: -150 +42
C1024: +126 -383
C1025: -239 +312
C1026: +114 -200
C1027: +284 -101
C1028: -280 +76
C1029: -312 +70 +239
C1030: -315 +373
C1031: -355 -213
C1032: +85 -352
C1033: -95 -56
C1034: +59 +255
C1035: +332 -67
C1036: -330 -331
C1037: +244 -191
C1038: +74 +322
C1039: +293 -34
C1040: -301 -205 +86
C1041: +379 -58
C1042: +172 +28
C1043: -222 +230 +349
C1044: +69 -381
C1045: -65 +196 -285
C1046: -150 +379
C1047: +353 +45 -350
C1048: +275 +338
C1049: +141 -317 -219
C1050: -258 +344
C1051: -383 +51
C1052: +164 +42
C1053: +265 -306
C1054: -376 -252
C1055: -371 +365
C1056: +110 -238
C1057: +57 -145
C1058: +107 +183
C1059: -78 -93
C1060: -152 +307
C1061: +50 +288
C1062: -76 +250 -63
C1063: +144 -207
C1064: +251 -6
C1065: +52 +226
C1066: -284 +101 +380
C1067: -93 +85
C1068: +126 -116
C1069: -258 +92
C1070: +175 +74
C1071: +114 +249
C1072: -201 -66
C1073: -299 +113 +177
C1074: +41 -137
C1075: -208 -326 +348
C1076: +37 +296
C1077: +274 +211
C1078: -364 +287
C1079: -196 -56
C1080: +3 -69 +381
C1081: +222 -349
C1082: -103 +379
C1083: -25 +279
C1084: +263 +166 -171
C1085: -206 +125
C1086: -116 -304
C1087: +107 -142
C1088: -207 +29
C1089: +67 -188 -208
C1090: -257 +304 -135
C1091: -174 +171
C1092: -182 -64
C1093: -150 -103
C1094: -320 -324
C1095: +149 -276
C1096: -119 +261
C1097: -129 +84
C1098: +268 -330
C1099: -77 -283 +161
C1100: +85 -139
C1101: +241 -139
C1102: +77 +149
C1103: +165 -292
C1104: -129 +111
C1105: -182 +2
C1106: -296 +247 -192
C1107: -384 +147
C1108: +362 -321
C1109: +265 +125
C1110: -156 -148
C1111: -133 +180
C1112: -315 +49
C1113: -153 -326 +102
C1114: -149 +161 -197
C1115: -6 +363
C1116: -204 +126
C1117: -101 +135
C1118: +5 -269
C1119: -218 -321
C1120: +308 -78
C1121: +276 -229 -205
C1122: +237 +193
C1123: -214 -117
C1124: +222 -113
C1125: +316 -35
C1126: +205 +73
C1127: -358 +339
C1128: +96 -120
C1129: -45 +350
C1130: +296 -123
C1131: -195 +178
C1132: -201 +147
C1133: +61 -354
C1134: +115 +361
C1135: +48 -15
C1136: -170 +305
C1137: +18 +181 -147
C1138: -290 +186
C1139: +375 -355
C1140: -141 -89
C1141: +194 +384 -147
C1142: -377 +190
C1143: -64 +126
C1144: -381 +83
C1145: +261 -214
C1146: +196 -179 +93
C1147: -102 +153
C1148: -45 -53
C1149: +217 -380
C1150: +90 +356
C1151: +76 +63
C1152: +307 -200
C1153: +193 -134
C1154: +136 -125 -265
C1155: -20 +62
C1156: -20 -91
C1157: +249 -331
C1158: +220 -47
C1159: +382 -156
C1160: -141 +305
C1161: -25 +40
C1162: -206 +144
C1163: +167 +261
C1164: +227 +343
C1165: +222 +128
C1166: -376 -189
C1167: +217 +164
C1168: -166 +310
C1169: -357 +58 +252
C1170: +64 -126 +53
C1171: +276 -77 -149
C1172: +109 +29
C1173: +356 -47
C1174: +365 +2
C1175: -35 +167
C1176: +284 +224
C1177: -335 -333 +218
C1178: +168 +234
C1179: +11 +13
C1180: +55 -91
C1181: -314 +8
C1182: -201 +375
C1183: +165 +293
C1184: +224 +40
C1185: -230 +14
C1186: +339 +37
C1187: -304 +60
C1188: -55 +157 +314
C1189: -254 +350
C1190: -228 +282 -76
C1191: -216 +305
C1192: -369 +191 -244
C1193: +302 +115
C1194: -88 -65 +277
C1195: -293 +34 -375
C1196: -209 -14 +230
C1197: +222 +342
C1198: +285 +65
C1199: -264 +155
C1200: -148 +217
C1201: +285 -137
C1202: -158 +54
C1203: +113 -128 -222
C1204: +300 -328
C1205: +303 -38
C1206: -108 +153
C1207: -118 -256
C1208: -292 +302
C1209: -224 -284 +223
C1210: -70 -337
C1211: -263 +39
C1212: -31 +298
C1213: +194 +151 -176
C1214: +255 -102
C1215: +148 -217 +156
C1216: -87 +227
C1217: +24 +325
C1218: -101 -380
C1219: -129 +164
C1220: -354 +342
C1221: -231 +142 -16
C1222: -25 +215
C1223: -277 +106
C1224: +331 -249 -114
C1225: -204 +39
C1226: +43 -318
C1227: -46 +202
C1228: +346 +183
C1229: +308 +4
C1230: +21 -377
C1231: -92 -334 +33
C1232: +343 -122
C1233: +36 +160
C1234: -282 +106
C1235: +250 -234 -202
C1236: -245 +307
C1237: +153 -290
C1238: +76 +228
C1239: -48 +355 +213
C1240: +50 +165
C1241: -168 +35 -167
C1242: -6 +297
C1243: +375 -269
C1244: +209 -230
C1245: -311 +43
C1246: +10 +156 -382
C1247: +12 +366
C1248: -372 +121 -50
C1249: -19 -216
C1250: +16 +231
C1251: -196 +179
C1252: +49 -162
C1253: +358 -359 +239
C1254: +289 -94
C1255: -11 +156 -261
C1256: +104 +32
C1257: -376 +51
C1258: -9 -231 +260
C1259: +170 -249 +377
C1260: +346 -313
C1261: +57 +303
C1262: +185 -112
C1263: +31 -298 -197
C1264: -187 -377
C1265: +65 -277
C1266: +39 -367
C1267: +135 -15
C1268: +295 +97
C1269: +174 -217 -164
C1270: +349 -173 -322
C1271: +279 +41
C1272: +165 +198
C1273: -268 +263 -301
C1274: +332 +265
C1275: -218 -101
C1276: -356 -178 +119
C1277: -168 -236 +318
C1278: +178 +111
C1279: +356 -116
C1280: +90 +124
C1281: +258 -344 -302
C1282: +254 +17 -350
C1283: +274 -162
C1284: -373 +315 -193
C1285: +1 -30
C1286: +80 -116
C1287: +350 -353
C1288: -81 +275
C1289: +343 +140
C1290: -150 +32
C1291: -245 +366
C1292: +322 -280
C1293: -157 +128
C1294: -81 +370
C1295: -159 -99
C1296: +40 +279
C1297: +48 -34
C1298: -264 -66
C1299: +14 -315
C1300: -116 +12
C1301: -136 +125
C1302: -319 -353
C1303: -338 -325 +184
C1304: +365 +175
C1305: -99 +217
C1306: -163 +21
C1307: +345 -22
C1308: -31 +143
C1309: -313 +362
C1310: +346 +97
C1311: -160 +108 -104
C1312: +341 -364
C1313: -10 -34
C1314: +148 -278 +352
C1315: +285 -351
C1316: +229 +329
C1317: +288 -195
C1318: -314 -371
C1319: -177 +110
C1320: -225 +332
C1321: -27 +70 -372
C1322: -320 -100
C1323: -367 +36
C1324: +368 +132 -80
C1325: -68 +40
C1326: -142 +115
C1327: +132 -279 -125
C1328: -58 +171
C1329: -63 -221 +121
C1330: +62 -194
C1331: -259 +193
C1332: +236 +28
C1333: -122 +165
C1334: -137 +279
C1335: -70 -239
C1336: +337 +70 -278
C1337: +16 +84
C1338: -383 -213
C1339: +114 +265
C1340: -371 +312
C1341: -146 +111
C1342: -259 +243
C1343: -53 -64
C1344: +238 -110 +254
C1345: -363 +364 -341
C1346: +83 -223
C1347: -177 -19
C1348: +58 +91 -171
C1349: -5 +182 +351
C1350: +345 -169
C1351: +342 -245
C1352: -73 -24 +306
C1353: +326 +153
C1354: -134 +131
C1355: +166 -176 +358
C1356: -82 -44
C1357: +85 -253
C1358: -143 -248 +31
C1359: -351 +84
C1360: +115 -86
C1361: +65 +88
C1362: +143 +51
C1363: -310 +212 +330
C1364: +368 +25 -51
C1365: -23 +295
C1366: +118 -55 +91
C1367: +209 -82
C1368: +257 -378
C1369: +370 +307
C1370: -307 +245 -295
C1371: +147 -181
C1372: +261 -201
C1373: -162 +71
C1374: +242 -96 +120
C1375: +213 -105 +7
C1376: +132 -270 -96
C1377: -44 +24
C1378: -269 -82
C1379: +210 -18
C1380: +345 -113
C1381: +357 -100
C1382: -263 +171
C1383: -283 -243 +225
C1384: +18 +273 -179
C1385: +173 -349
C1386: +325 -184
C1387: -225 +237
C1388: -349 +322
C1389: -314 -157
C1390: -90 +31 -124
C1391: +270 +71
C1392: +85 -78
C1393: -241 +81 -248
C1394: -33 -240
C1395: +209 +14
C1396: +338 -35
C1397: +264 -155 +66
C1398: +56 -336 +95
C1399: +271 -253
C1400: -89 -273
C1401: +19 -243 -32
C1402: -177 +105
C1403: -183 -107 +142
C1404: -213 +48
C1405: -215 +313 +95
C1406: -368 -25
C1407: -181 +36
C1408: +305 -89
C1409: +88 +312
C1410: +246 -136
C1411: -99 +190
C1412: -242 +341
C1413: -114 -59 +200
C1414: +75 +301
C1415: -277 +220
C1416: +71 -200
C1417: +168 -318
C1418: +106 +246
C1419: -263 +301
C1420: +54 -117
C1421: +268 -331
C1422: -137 +52
C1423: -102 -364
C1424: +333 -218
C1425: +373 -273
C1426: -319 -216
C1427: -190 +99 +159
C1428: +374 -209 +381
C1429: +61 +342
C1430: +173 +296
C1431: +186 -195
C1432: +41 -99
C1433: -251 -199 +6
C1434: +356 +178
C1435: -72 +37
C1436: +28 -161
C1437: -270 +154 -188
C1438: -212 -380
C1439: -344 +152 -226
C1440: +163 +324 -21
C1441: +1 -30
C1442: -294 -111 +146
C1443: -152 +226
C1444: -290 +173
C1445: -191 -223
C1446: -110 +177 +19
C1447: +79 -134
C1448: -318 +236
C1449: +149 +197
C1450: +29 +28
C1451: +37 +65
C1452: +140 -151
C1453: +100 +170 -357
C1454: +286 +1
C1455: -271 +348 +253
C1456: -170 +249
C1457: -162 +246
C1458: -133 +55
C1459: +210 +289
C1460: +56 -83 +238
C1461: +298 -337
C1462: +122 -50 -165
C1463: -15 +228
C1464: +109 -3
C1465: -162 +244
C1466: -174 +217
C1467: +370 -203
C1468: -221 +235 -344
C1469: +369 -151
C1470: -19 +32
C1471: -46 -355
C1472: -347 +311 -8
C1473: -131 -130 +127
C1474: -15 -138
C1475: +179 -331
C1476: -210 -4 +154
C1477: +73 +24
C1478: -92 +258 +182
C1479: +112 -75 -266
C1480: +235 -74 -175
C1481: -227 +87 -61
C1482: +35 -275 -338
C1483: +359 -239
C1484: -25 +51
C1485: -76 +280 -322
C1486: +283 +111
C1487: +219 +317
C1488: -95 -313
C1489: +29 +74
C1490: +41 -3
C1491: +205 -276
C1492: -297 +139 +230
C1493: -22 -113
C1494: -232 -115 +86
C1495: -354 +131
C1496: +36 -324
C1497: -293 -208 +260
C1498: +359 -159
C1499: +215 -95
C1500: +63 +339
C1501: -264 -184
C1502: +12 +363
C1503: +188 +208
C1504: +293 +208
C1505: -247 +11
C1506: -291 -368
C1507: +328 -300 +239
C1508: -272 +43
C1509: -181 +289
C1510: +138 -62 +367
C1511: +242 -60 -365
C1512: +363 +297
C1513: -182 -258
C1514: -254 +288
C1515: -305 +141 +89
C1516: +17 -48 +34
C1517: +360 -204
C1518: -288 +195 -50
C1519: -269 +369
C1520: -319 +32
C1521: -252 +357
C1522: +2 -256
C1523: -263 -166
C1524: +208 -348
C1525: -16 +67 -332
C1526: +282 -231 -106
C1527: -293 -165 +292
C1528: -33 +346
C1529: +59 +57
C1530: -216 +317
C1531: +87 -21 +314
C1532: +42 +220
C1533: -121 +175
C1534: -378 +288
C1535: -382 +353 +319
C1536: -75 +98 -301
Output exactly 384 comma-separated signed integers in variable order.
At position i write +i to set variable i true or -i to set it false.
Every variable must occur exactly once; repetitions are forbidden.
Order inside the answer therefore matters and is fixed as 1,2,...,n.
Give your final answer inside &lt;answer&gt;&lt;/answer&gt; tags, as signed integers.
Example: &lt;answer&gt;1, -2, 3&lt;/answer&gt;
Output nothing else inside the tags.</t>
        </is>
      </c>
      <c r="L25" s="6" t="inlineStr">
        <is>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t>
        </is>
      </c>
    </row>
    <row r="26">
      <c r="A26" s="2" t="inlineStr">
        <is>
          <t>2112.06333</t>
        </is>
      </c>
      <c r="B26" s="2" t="inlineStr">
        <is>
          <t>Single-conflict colorings of degenerate graphs</t>
        </is>
      </c>
      <c r="C26" s="2" t="inlineStr">
        <is>
          <t>graph structures</t>
        </is>
      </c>
      <c r="D26" s="3" t="inlineStr">
        <is>
          <t>https://arxiv.org/abs/2112.06333</t>
        </is>
      </c>
      <c r="E26" s="2" t="inlineStr">
        <is>
          <t>medium</t>
        </is>
      </c>
      <c r="F26" s="2" t="inlineStr">
        <is>
          <t>{"n": 72, "matchings": 4, "triangle_free": true}</t>
        </is>
      </c>
      <c r="G26" s="4" t="inlineStr">
        <is>
          <t>yes</t>
        </is>
      </c>
      <c r="H26" s="5" t="n">
        <v>7214</v>
      </c>
      <c r="I26" s="2" t="inlineStr"/>
      <c r="J26" s="5" t="n">
        <v>104</v>
      </c>
      <c r="K26" s="6" t="inlineStr">
        <is>
          <t>Single-conflict coloring witness problem
There are 216 vertices, numbered 0 through 215, and 3 colors,
numbered 0 through 2. A coloring assigns exactly one color to
every vertex. Colors may be reused, and the coloring need not use every color.
A conflict edge has two endpoints and one forbidden ordered color pair.
For each unordered constraint pair `u v` listed below (always u &lt; v),
there are exactly 3 parallel conflict edges. For color c in
{0, ..., 2}, the c-th parallel edge forbids (c,c) from u to v;
the reverse orientation forbids the reversed pair, which is also (c,c).
Thus a coloring is valid exactly when every listed pair has differently
colored endpoints. The order of the listed pairs has no meaning.
CONSTRAINT_PAIRS 864
124 185
63 108
10 34
56 170
72 163
8 154
91 120
55 138
176 196
83 199
125 212
139 170
53 58
27 139
161 165
43 116
62 128
70 137
65 203
23 157
170 181
14 70
33 96
136 201
65 183
119 168
64 192
139 178
189 190
49 150
19 209
180 192
69 171
10 169
56 164
9 191
62 165
13 33
83 123
89 186
167 197
112 124
140 199
22 198
12 36
61 171
31 108
21 189
16 146
58 176
19 157
22 106
53 151
62 101
65 80
38 123
41 71
97 110
155 196
20 75
114 213
169 182
72 183
24 85
117 138
30 61
21 206
31 77
48 160
28 152
81 103
168 203
74 80
94 105
40 74
108 171
23 160
60 173
68 105
48 78
54 155
50 126
100 111
161 164
52 153
93 101
95 189
84 207
17 30
17 91
41 211
0 161
90 147
22 197
87 180
120 186
46 134
162 175
64 85
50 206
86 214
114 118
107 123
45 151
1 180
58 88
47 67
183 184
52 94
54 128
74 109
178 198
39 200
4 22
118 192
19 184
59 116
58 77
24 132
13 211
74 122
17 40
118 177
31 166
56 193
27 73
9 67
159 204
22 127
120 207
160 189
143 163
107 159
114 126
199 207
71 194
69 210
99 174
11 163
34 48
0 189
175 191
145 156
145 162
52 208
88 116
7 119
1 53
105 167
176 193
32 125
73 185
52 150
62 89
78 177
4 170
106 150
9 210
75 96
26 118
79 200
62 125
24 136
181 204
32 73
24 67
99 190
111 153
18 27
129 130
142 171
22 141
149 213
7 8
58 112
76 172
120 149
112 182
107 195
150 183
2 151
41 190
77 178
40 173
23 211
108 207
2 167
103 146
57 151
75 127
19 21
14 131
128 198
20 215
10 213
87 149
123 209
184 212
85 100
33 199
21 151
20 169
61 194
9 70
59 142
6 127
5 76
106 193
15 95
137 144
68 213
98 131
162 202
162 205
15 64
12 211
90 191
4 47
53 110
37 97
18 91
77 209
7 129
64 136
79 141
56 59
72 162
55 174
5 133
84 131
68 144
153 157
11 130
42 100
95 147
1 2
22 55
9 49
159 206
66 182
178 208
140 154
96 185
21 85
12 199
0 98
145 160
3 85
3 35
61 204
136 200
37 186
29 86
6 107
98 136
29 45
35 158
23 80
80 180
75 176
79 202
24 102
119 213
4 202
66 171
15 37
25 154
57 215
101 190
33 187
17 107
146 215
69 101
35 196
8 26
50 63
104 155
46 70
161 201
102 164
105 133
6 117
26 146
42 47
3 93
25 103
7 211
179 205
78 103
48 204
44 211
77 211
39 97
31 104
53 119
80 177
87 135
116 204
132 147
11 166
36 202
39 172
98 168
31 173
173 190
28 133
10 197
80 141
40 103
88 91
41 66
11 20
16 181
66 103
88 126
21 96
78 104
33 208
6 90
82 200
25 102
11 77
98 147
179 200
51 150
119 152
32 134
138 165
78 191
45 50
25 65
130 172
14 83
130 185
105 187
64 186
44 169
21 153
113 202
0 166
154 164
170 209
15 18
32 94
98 202
107 125
154 203
57 172
7 114
32 113
37 124
30 142
126 182
52 213
13 45
27 212
143 210
2 28
80 121
188 202
121 207
149 195
1 174
16 147
98 173
6 29
17 156
91 178
2 194
87 95
61 140
155 181
93 175
30 163
104 202
19 67
106 210
45 91
36 74
41 205
116 135
15 128
115 134
76 139
75 125
35 172
114 194
19 68
5 132
5 51
3 90
14 169
102 174
119 128
26 82
9 197
115 201
57 59
141 193
42 214
20 194
124 144
42 146
105 186
47 107
100 149
148 194
89 195
94 104
83 156
69 135
12 29
92 214
108 193
89 117
9 58
155 180
70 207
7 79
64 196
67 138
52 115
18 60
156 179
97 137
35 195
8 100
51 208
112 133
142 198
65 179
83 150
109 208
92 110
113 133
63 149
97 143
126 161
26 76
50 96
24 166
113 177
30 42
10 77
72 196
58 117
54 210
70 187
121 145
27 81
11 174
16 173
66 162
24 61
28 101
8 144
7 46
50 101
18 206
44 64
49 129
93 188
4 93
2 54
55 153
29 200
83 137
13 34
120 175
117 214
14 108
56 71
5 36
56 214
36 99
17 187
87 214
156 192
41 110
60 137
59 176
11 60
29 141
16 121
78 193
27 92
102 175
62 142
18 96
89 184
70 129
111 160
1 152
1 37
5 157
86 127
122 211
19 32
69 122
81 187
6 151
159 177
181 207
97 167
124 212
182 198
55 188
27 167
126 186
99 118
33 195
101 164
81 109
32 129
35 99
84 197
41 73
37 44
168 172
57 156
34 188
13 130
49 110
106 129
119 140
37 121
94 137
8 60
8 115
132 180
81 118
30 33
83 143
116 210
93 115
123 154
16 189
82 169
78 84
68 141
92 156
46 171
62 72
39 59
4 25
47 71
144 184
166 209
48 75
71 118
92 99
79 94
23 81
68 122
158 191
183 195
106 124
3 52
149 165
100 206
78 169
5 177
140 190
90 143
45 176
25 82
7 34
44 195
2 171
14 107
135 173
15 170
175 183
88 179
0 10
106 118
43 187
140 188
164 176
110 114
137 148
109 112
0 204
38 205
79 208
130 215
8 54
76 164
10 60
38 82
96 133
36 77
175 199
95 197
14 112
63 199
38 131
40 181
84 88
31 51
121 205
68 92
6 198
139 199
33 192
132 158
113 144
39 157
48 152
42 97
38 115
128 212
39 165
26 145
12 178
31 82
41 215
57 73
68 198
67 141
4 205
51 189
181 203
134 142
0 109
46 76
154 166
111 120
44 174
14 192
38 147
129 168
169 190
112 184
86 135
111 170
84 135
40 134
138 159
142 168
88 123
52 113
98 192
63 143
65 214
72 84
20 63
15 29
145 184
5 91
110 131
105 170
90 201
18 111
44 96
27 69
40 92
127 177
43 139
31 72
57 203
133 135
123 130
58 175
30 138
50 212
69 72
100 203
51 144
87 152
117 135
20 49
121 149
63 150
75 209
178 181
66 156
148 159
26 201
47 122
173 197
23 102
56 213
128 204
47 128
54 163
102 126
26 197
29 180
39 134
111 163
159 179
43 212
100 136
25 115
12 34
43 71
139 151
164 192
92 196
109 132
35 48
6 110
57 155
40 43
36 120
130 157
193 206
20 70
46 193
74 203
4 73
104 167
2 81
94 120
160 182
21 215
66 134
46 53
166 207
93 125
36 185
155 177
44 140
32 123
83 172
108 127
191 208
12 171
67 163
86 205
165 167
43 113
158 186
3 206
53 160
124 165
55 145
185 187
182 191
34 108
65 167
51 103
59 138
25 56
93 204
134 191
59 209
34 76
125 163
61 139
136 142
60 85
131 172
154 158
17 166
63 196
104 200
179 201
129 158
45 82
90 187
73 90
95 101
179 185
16 213
99 215
95 127
97 168
88 152
30 49
1 125
28 174
62 147
10 115
0 162
137 140
121 151
15 148
109 185
69 214
74 159
38 89
42 148
188 203
35 153
13 89
9 124
49 212
74 201
85 119
53 87
50 87
12 38
148 174
153 178
144 176
141 143
71 168
28 117
99 152
112 148
143 182
18 86
82 161
37 45
81 152
54 94
23 146
19 190
61 95
114 157
113 209
64 122
184 200
158 162
127 188
84 138
85 145
79 146
189 210
188 194
11 89
55 122
65 153
148 195
131 210
22 161
109 136
3 75
106 186
43 147
67 76
3 13
23 47
133 183
158 194
49 146
66 86
103 155
24 198
161 196
1 86
28 215
51 201
48 73
150 205
55 126
117 132
13 111
42 208
114 116
80 131
160 183
60 105
54 157
17 122
79 91
16 165
104 206
28 180
46 116
39 132
71 102
END_CONSTRAINT_PAIRS
Output exactly 216 base-10 integers. Integer number v is the color of
vertex v, so order matters and vertices are 0-indexed. Separate integers
with commas. Do not include vertex numbers, brackets, or repeated entries.
Give your final answer inside &lt;answer&gt;&lt;/answer&gt; tags, as a comma-separated
list of colors in vertex order.
Example of the format only: &lt;answer&gt;0, 2, 1, 0&lt;/answer&gt;
Output nothing else inside the tags.</t>
        </is>
      </c>
      <c r="L26" s="6" t="inlineStr">
        <is>
          <t>[0, 2, 0, 1, 1, 0, 1, 1, 0, 2, 2, 2, 1, 2, 0, 0, 1, 0, 2, 2, 0, 1, 2, 2, 2, 0, 1, 0, 1, 2, 2, 0, 0, 1, 0, 2, 2, 1, 0, 0, 1, 1, 1, 0, 2, 0, 0, 0, 1, 1, 1, 1, 2, 1, 2, 1, 1, 0, 0, 2, 1, 0, 0, 2, 1, 2, 0, 1, 1, 1, 1, 2, 2, 2, 0, 2, 2, 1, 0, 2, 1, 1, 2, 2, 1, 0, 1, 2, 2, 1, 0, 1, 2, 0, 1, 1, 0, 2, 1, 1, 2, 2, 1, 2, 2, 0, 1, 2, 1, 2, 0, 1, 1, 1, 2, 1, 1, 2, 0, 2, 0, 0, 2, 1, 0, 1, 0, 0, 1, 2, 0, 2, 1, 2, 2, 0, 0, 0, 0, 1, 1, 0, 1, 1, 2, 2, 0, 2, 2, 1, 0, 2, 0, 0, 2, 1, 1, 1, 0, 1, 0, 1, 1, 0, 0, 2, 1, 1, 0, 1, 2, 2, 1, 2, 0, 2, 1, 2, 2, 0, 0, 0, 2, 1, 0, 1, 2, 2, 2, 2, 0, 1, 2, 2, 1, 0, 0, 0, 0, 0, 1, 2, 0, 1, 2, 2, 0, 2, 0, 0, 0, 0, 2, 0, 0, 2]</t>
        </is>
      </c>
    </row>
    <row r="27">
      <c r="A27" s="2" t="inlineStr">
        <is>
          <t>2504.12430</t>
        </is>
      </c>
      <c r="B27" s="2" t="inlineStr">
        <is>
          <t>Fractional hypergraph coloring</t>
        </is>
      </c>
      <c r="C27" s="2" t="inlineStr">
        <is>
          <t>graph structures</t>
        </is>
      </c>
      <c r="D27" s="3" t="inlineStr">
        <is>
          <t>https://arxiv.org/abs/2504.12430</t>
        </is>
      </c>
      <c r="E27" s="2" t="inlineStr">
        <is>
          <t>standard</t>
        </is>
      </c>
      <c r="F27" s="2" t="inlineStr">
        <is>
          <t>{"n": 18, "degree": 5}</t>
        </is>
      </c>
      <c r="G27" s="4" t="inlineStr">
        <is>
          <t>yes</t>
        </is>
      </c>
      <c r="H27" s="5" t="n">
        <v>6070</v>
      </c>
      <c r="I27" s="2" t="inlineStr"/>
      <c r="J27" s="5" t="n">
        <v>318</v>
      </c>
      <c r="K27" s="6" t="inlineStr">
        <is>
          <t>Proper (6:2)-fractional coloring of a graph
A graph is a set of vertices together with undirected edges.  Here it
is also viewed as a 2-uniform hypergraph: every edge has exactly two
distinct endpoints.  There are no loops and no repeated edges.
Assign every vertex exactly two DISTINCT colors chosen from
{0,1,2,3,4,5}.  An edge is properly fractionally colored exactly when
no color is assigned to both endpoints.  Equivalently, the two
2-element color sets at the endpoints must be disjoint.  Every listed
edge must satisfy this rule.
Vertices are the integers 0 through 269, inclusive
(0-indexed).  Every vertex must appear exactly once in the answer.
The order of vertex records and the order of the two colors within a
record do not matter.  Different vertices may receive the same pair.
Only the edges listed below impose constraints; nonedges impose none.
Edges (675 total), one pair of endpoints per line:
94 208
215 245
66 92
69 110
142 237
38 136
21 173
43 143
123 203
114 215
128 194
70 159
126 128
234 252
119 191
98 220
104 195
2 86
23 263
252 256
78 178
64 253
32 69
106 158
19 78
22 195
38 76
17 211
105 111
38 156
89 120
18 125
57 122
56 124
41 66
141 215
194 247
75 202
119 254
96 162
23 68
6 150
39 243
3 85
57 80
174 198
42 257
39 208
112 122
144 269
99 133
0 258
37 179
37 181
205 220
162 260
84 118
77 213
145 228
21 241
81 184
62 186
159 229
27 213
88 237
35 74
46 50
95 177
53 76
77 179
26 32
99 102
174 199
182 199
111 246
183 211
175 258
250 268
232 236
106 185
1 207
22 87
148 181
89 134
158 172
112 186
41 152
98 266
125 160
171 199
164 192
19 92
28 92
44 105
142 162
118 172
185 188
60 253
85 212
6 58
108 226
35 238
223 254
15 48
103 170
147 154
223 249
97 238
11 192
51 154
129 234
36 96
3 17
67 117
5 135
115 146
79 233
59 216
60 242
124 266
115 165
130 153
6 239
89 181
90 156
133 264
40 169
62 110
118 207
49 155
15 52
15 158
52 216
10 241
134 196
91 241
48 253
133 179
227 246
141 206
139 268
75 90
26 145
117 249
71 149
156 169
22 169
4 83
101 194
48 204
93 250
2 37
90 247
108 184
225 232
53 247
37 155
66 163
40 217
41 214
188 244
69 186
9 31
103 132
114 189
67 184
99 153
62 217
68 76
157 197
24 64
79 126
0 250
30 182
59 158
167 250
171 244
51 200
93 178
216 251
31 208
12 131
18 203
73 131
80 187
73 135
222 229
93 236
63 178
53 132
163 164
152 223
183 268
103 205
134 252
9 238
33 205
126 212
47 218
29 263
224 238
57 259
54 74
31 122
47 215
107 177
17 87
3 34
30 242
176 189
14 159
190 205
87 244
197 248
43 167
16 51
19 143
53 162
173 210
159 258
234 255
246 259
131 221
21 141
96 168
97 186
92 145
10 43
47 128
36 46
67 103
161 237
77 93
78 210
102 125
7 256
88 192
193 213
157 253
28 138
148 214
25 137
29 146
135 229
18 26
120 175
81 134
45 51
32 260
82 225
20 213
39 130
79 184
38 130
74 257
35 247
147 187
121 235
110 154
46 149
116 167
100 256
164 267
86 138
222 258
45 251
209 221
165 183
1 70
40 119
57 110
127 138
5 243
16 33
94 129
33 195
120 192
63 110
27 264
146 157
30 96
176 217
46 180
26 200
94 167
96 137
137 156
211 218
75 219
218 238
13 255
56 149
55 129
105 263
64 104
190 224
102 183
161 183
42 84
98 169
69 269
11 85
25 189
39 104
2 28
100 179
29 178
69 240
73 95
102 265
0 127
35 55
124 223
191 269
142 231
14 210
83 90
62 113
220 240
71 150
107 261
40 265
188 195
93 111
48 233
11 228
25 111
116 227
125 151
71 88
1 170
155 263
60 261
64 190
34 232
32 232
84 148
100 249
27 41
36 153
7 65
187 267
163 224
234 254
186 249
42 136
137 148
53 109
3 106
144 236
52 219
146 199
108 239
41 200
172 180
131 172
51 257
52 235
166 255
112 262
131 268
61 109
55 230
23 165
11 231
147 218
176 193
253 267
84 200
16 204
20 218
133 240
72 242
21 185
139 168
54 108
136 214
211 248
129 225
61 73
108 190
196 217
107 254
54 225
59 124
26 175
81 97
65 207
142 269
128 149
5 18
14 243
12 252
177 202
42 262
71 79
180 197
196 244
43 259
132 150
141 143
82 227
161 241
230 252
88 128
31 68
132 169
61 189
27 244
22 152
91 255
112 182
81 99
82 95
24 204
65 124
56 62
121 213
184 264
168 256
2 104
111 172
0 83
24 190
4 82
15 139
170 251
5 248
245 261
10 152
198 206
60 263
9 154
1 222
17 130
80 158
87 212
70 219
105 191
188 235
12 173
121 202
116 133
90 212
113 123
49 119
72 180
72 177
203 228
56 86
200 233
224 228
29 155
177 243
10 176
70 217
70 82
43 113
116 248
95 121
31 260
157 170
104 109
85 112
204 243
138 202
196 246
8 94
10 242
8 116
49 174
201 202
115 236
2 11
78 126
47 214
119 215
63 73
139 239
8 231
146 160
140 168
148 235
46 212
160 265
47 221
97 227
58 236
115 193
98 193
54 81
107 194
45 134
77 83
98 114
28 153
50 210
59 237
74 209
21 232
68 140
65 188
30 141
207 269
101 114
9 16
185 220
64 194
27 50
4 209
171 209
176 182
231 266
30 66
145 166
127 261
198 201
49 159
239 264
6 226
36 136
164 266
8 61
17 235
137 216
76 91
24 195
161 171
44 220
144 201
153 227
5 61
52 97
109 262
15 242
86 113
130 189
240 255
198 267
7 140
140 166
7 203
42 260
175 256
151 246
160 251
55 175
101 233
14 38
92 191
179 241
60 86
118 160
103 123
65 67
58 127
67 168
126 249
45 135
44 136
121 251
34 49
39 144
166 206
19 229
13 226
117 231
9 100
91 170
88 191
44 154
193 197
57 245
180 262
91 201
12 50
225 233
28 221
0 120
182 221
77 123
13 76
20 197
19 205
89 198
22 23
83 208
14 245
50 167
156 166
54 78
224 257
140 187
59 99
139 181
45 164
79 222
161 219
12 13
34 149
4 13
230 240
71 239
207 264
117 144
56 123
94 151
16 155
150 265
34 247
101 258
87 106
120 214
68 75
66 230
102 267
84 115
48 265
89 199
33 203
80 250
25 72
165 173
114 163
7 259
63 122
35 185
122 125
107 209
101 173
58 171
20 260
4 219
25 44
58 117
40 147
63 192
138 259
55 223
118 211
178 216
72 222
162 206
37 113
95 268
106 127
152 196
6 181
20 208
228 266
75 262
24 254
36 109
3 248
230 237
8 143
23 226
1 29
201 245
165 261
105 257
32 33
100 163
157 187
85 174
151 234
143 150
147 206
18 204
80 145
74 142
135 226
151 174
210 229
129 132
Give your final answer inside &lt;answer&gt;&lt;/answer&gt; tags as one JSON array.
It must contain exactly one [vertex,color1,color2] record per vertex.
Both colors in a record must be integers in 0..5 and must be distinct.
Example format: &lt;answer&gt;[[0,0,1],[1,2,3]]&lt;/answer&gt;
Output nothing else inside the tags.</t>
        </is>
      </c>
      <c r="L27" s="6" t="inlineStr">
        <is>
          <t>[[0, 1, 4], [1, 0, 3], [2, 0, 4], [3, 3, 4], [4, 2, 4], [5, 0, 4], [6, 1, 3], [7, 2, 5], [8, 0, 1], [9, 1, 2], [10, 2, 5], [11, 1, 5], [12, 0, 1], [13, 3, 5], [14, 3, 4], [15, 1, 5], [16, 3, 4], [17, 1, 2], [18, 2, 5], [19, 1, 3], [20, 3, 5], [21, 2, 5], [22, 1, 2], [23, 4, 5], [24, 2, 5], [25, 4, 5], [26, 0, 1], [27, 1, 3], [28, 1, 2], [29, 4, 5], [30, 0, 5], [31, 4, 5], [32, 2, 3], [33, 0, 5], [34, 1, 2], [35, 2, 5], [36, 2, 5], [37, 3, 5], [38, 0, 2], [39, 0, 3], [40, 2, 4], [41, 0, 5], [42, 2, 5], [43, 3, 4], [44, 0, 1], [45, 1, 4], [46, 0, 3], [47, 3, 5], [48, 2, 4], [49, 0, 4], [50, 2, 4], [51, 0, 5], [52, 2, 3], [53, 3, 5], [54, 3, 5], [55, 1, 3], [56, 0, 1], [57, 3, 4], [58, 4, 5], [59, 0, 5], [60, 1, 5], [61, 3, 5], [62, 4, 5], [63, 1, 5], [64, 1, 4], [65, 0, 3], [66, 3, 4], [67, 1, 2], [68, 0, 2], [69, 1, 5], [70, 2, 4], [71, 1, 3], [72, 0, 2], [73, 0, 4], [74, 0, 4], [75, 4, 5], [76, 1, 4], [77, 1, 3], [78, 2, 4], [79, 2, 4], [80, 1, 5], [81, 0, 1], [82, 0, 5], [83, 0, 5], [84, 0, 1], [85, 0, 2], [86, 2, 3], [87, 0, 3], [88, 4, 5], [89, 1, 4], [90, 2, 3], [91, 2, 3], [92, 0, 5], [93, 4, 5], [94, 3, 5], [95, 2, 3], [96, 1, 3], [97, 4, 5], [98, 0, 2], [99, 2, 4], [100, 0, 5], [101, 1, 2], [102, 0, 5], [103, 0, 3], [104, 2, 5], [105, 4, 5], [106, 1, 5], [107, 0, 2], [108, 1, 4], [109, 1, 4], [110, 0, 2], [111, 1, 3], [112, 1, 5], [113, 0, 1], [114, 3, 5], [115, 2, 5], [116, 3, 4], [117, 0, 3], [118, 2, 3], [119, 3, 5], [120, 0, 5], [121, 1, 4], [122, 0, 2], [123, 2, 5], [124, 2, 4], [125, 1, 3], [126, 3, 5], [127, 0, 2], [128, 0, 1], [129, 0, 4], [130, 4, 5], [131, 2, 3], [132, 1, 2], [133, 1, 5], [134, 3, 5], [135, 3, 5], [136, 3, 4], [137, 0, 2], [138, 4, 5], [139, 3, 4], [140, 1, 4], [141, 1, 4], [142, 1, 5], [143, 2, 5], [144, 2, 5], [145, 3, 4], [146, 1, 3], [147, 1, 5], [148, 3, 4], [149, 4, 5], [150, 0, 4], [151, 0, 2], [152, 3, 4], [153, 0, 3], [154, 3, 4], [155, 1, 2], [156, 1, 4], [157, 2, 5], [158, 2, 3], [159, 1, 5], [160, 0, 4], [161, 4, 5], [162, 2, 4], [163, 1, 2], [164, 0, 5], [165, 0, 1], [166, 2, 5], [167, 0, 1], [168, 0, 5], [169, 3, 5], [170, 1, 4], [171, 2, 3], [172, 0, 4], [173, 3, 4], [174, 1, 3], [175, 2, 4], [176, 0, 4], [177, 1, 4], [178, 0, 3], [179, 2, 4], [180, 1, 5], [181, 0, 2], [182, 2, 3], [183, 2, 3], [184, 3, 5], [185, 0, 4], [186, 2, 3], [187, 0, 3], [188, 1, 2], [189, 1, 2], [190, 0, 3], [191, 1, 2], [192, 2, 3], [193, 1, 3], [194, 3, 5], [195, 3, 4], [196, 0, 2], [197, 0, 4], [198, 2, 5], [199, 0, 5], [200, 2, 4], [201, 0, 4], [202, 2, 3], [203, 3, 4], [204, 0, 1], [205, 2, 4], [206, 0, 3], [207, 1, 5], [208, 1, 2], [209, 1, 5], [210, 1, 5], [211, 0, 5], [212, 1, 4], [213, 0, 2], [214, 1, 2], [215, 0, 2], [216, 1, 4], [217, 1, 3], [218, 2, 4], [219, 0, 1], [220, 3, 5], [221, 0, 4], [222, 1, 5], [223, 0, 5], [224, 4, 5], [225, 1, 2], [226, 0, 2], [227, 1, 2], [228, 0, 2], [229, 0, 2], [230, 0, 5], [231, 2, 4], [232, 0, 4], [233, 0, 3], [234, 3, 5], [235, 0, 5], [236, 1, 3], [237, 2, 3], [238, 0, 3], [239, 2, 5], [240, 2, 4], [241, 0, 1], [242, 3, 4], [243, 2, 5], [244, 4, 5], [245, 1, 5], [246, 4, 5], [247, 0, 4], [248, 1, 2], [249, 1, 4], [250, 2, 3], [251, 2, 3], [252, 2, 4], [253, 0, 3], [254, 1, 4], [255, 0, 1], [256, 1, 3], [257, 1, 3], [258, 0, 3], [259, 0, 1], [260, 0, 1], [261, 3, 4], [262, 0, 3], [263, 0, 3], [264, 0, 4], [265, 1, 3], [266, 1, 3], [267, 1, 4], [268, 0, 1], [269, 0, 4]]</t>
        </is>
      </c>
    </row>
    <row r="28">
      <c r="A28" s="2" t="inlineStr">
        <is>
          <t>2506.23363</t>
        </is>
      </c>
      <c r="B28" s="2" t="inlineStr">
        <is>
          <t>Parameterized Critical Node Cut Revisited</t>
        </is>
      </c>
      <c r="C28" s="2" t="inlineStr">
        <is>
          <t>graph structures</t>
        </is>
      </c>
      <c r="D28" s="3" t="inlineStr">
        <is>
          <t>https://arxiv.org/abs/2506.23363</t>
        </is>
      </c>
      <c r="E28" s="2" t="inlineStr">
        <is>
          <t>medium</t>
        </is>
      </c>
      <c r="F28" s="2" t="inlineStr">
        <is>
          <t>{"n": 66, "constraint_degree": 8}</t>
        </is>
      </c>
      <c r="G28" s="4" t="inlineStr">
        <is>
          <t>yes</t>
        </is>
      </c>
      <c r="H28" s="5" t="n">
        <v>18895</v>
      </c>
      <c r="I28" s="2" t="inlineStr"/>
      <c r="J28" s="5" t="n">
        <v>334</v>
      </c>
      <c r="K28" s="6" t="inlineStr">
        <is>
          <t>CRITICAL NODE CUT — EXACT ZERO-PAIR WITNESS
You are given a simple undirected graph.  Vertices are the integers 1 through
1188, inclusive.  Each row in the edge list is one unordered
edge {u,v}; there are no loops or duplicate edges.
For a deletion set S, remove every vertex in S and every incident edge.  Two
distinct remaining vertices form a connected pair when an undirected path
joins them in the remaining graph.  If the remaining connected components
have sizes c_1,c_2,..., the number of unordered connected pairs is
sum_i c_i*(c_i-1)/2.
Find exactly 770 distinct vertices whose deletion leaves at most
0 connected pairs.  Because the bound is zero, equivalently every
listed edge must have at least one endpoint in your deletion set.  Order does
not matter.  Repeated vertices are forbidden, and no vertex outside the
inclusive range 1..1188 is allowed.
VERTEX_COUNT 1188
EDGE_COUNT 2178
DELETE_EXACTLY 770
CONNECTED_PAIR_BOUND 0
EDGES
810 1114
255 644
688 721
497 528
16 967
115 737
156 870
289 1067
1042 1184
152 301
256 1145
607 939
50 730
690 1111
10 84
674 1009
298 1039
555 653
827 1088
152 1012
457 885
153 1122
361 771
78 1158
5 93
311 592
179 838
572 813
670 769
680 939
5 221
138 815
612 1107
917 1144
799 976
64 1085
97 525
432 584
358 980
80 150
372 1070
62 505
39 461
68 349
43 1097
550 831
162 364
199 394
229 651
522 1089
160 1167
521 1002
143 753
7 1152
210 215
505 921
21 974
723 1135
1072 1116
347 423
632 702
94 1107
130 196
815 862
725 1112
560 562
585 1160
690 1031
315 522
299 757
274 727
529 950
46 1150
76 715
604 668
36 265
93 1049
425 546
765 799
521 599
570 858
762 789
173 243
132 836
260 1159
167 180
361 585
243 1065
5 567
108 697
245 410
424 1140
254 459
282 775
605 1027
32 83
70 97
206 509
4 198
269 732
78 435
298 715
164 703
384 1167
619 695
443 455
442 848
586 903
345 839
179 272
533 1107
268 715
182 295
227 309
1143 1168
625 1116
546 673
131 263
970 1014
260 378
700 1043
55 618
299 491
198 1003
603 674
151 411
722 750
822 1062
446 1084
179 974
174 497
111 206
174 528
209 498
680 1081
135 754
16 1104
372 466
88 551
63 603
189 254
195 224
831 978
603 1185
115 1032
882 1135
173 251
678 709
540 1181
242 753
551 1048
524 743
170 963
42 928
201 331
382 515
143 933
327 1141
318 667
647 803
154 531
654 1140
55 416
483 654
12 333
398 1108
102 231
427 957
811 1138
544 1143
346 928
914 1093
695 1160
462 994
817 1012
231 808
531 861
430 614
465 690
767 1166
462 1078
989 1059
236 856
302 924
39 780
23 39
46 700
22 797
160 881
62 1086
234 247
372 660
506 944
235 453
387 992
12 303
671 996
926 981
297 909
11 789
13 556
495 821
48 438
622 626
84 727
556 891
395 765
159 366
763 786
200 233
160 177
284 1033
202 732
64 264
510 655
667 670
559 618
313 1179
647 1050
742 1048
137 533
546 1132
987 1028
716 735
445 571
542 1033
190 706
345 1075
432 1155
97 885
242 788
861 989
213 405
899 1052
635 677
372 1065
371 791
221 348
52 587
204 1099
487 925
115 422
519 1117
186 1056
416 1001
669 870
215 1021
37 945
585 771
334 1068
148 326
709 993
827 911
123 169
71 856
349 414
141 412
654 658
666 970
362 899
648 833
290 647
512 531
365 998
233 946
767 1148
938 1107
560 836
603 1170
262 1165
20 1160
937 1048
103 752
675 726
682 1146
941 974
52 699
519 722
52 635
446 1012
11 329
208 861
412 552
143 575
116 595
19 688
951 1060
61 1031
192 314
532 734
569 641
873 1032
19 925
638 652
423 1026
745 860
373 999
912 1040
176 210
388 477
142 663
455 868
104 251
353 957
238 611
149 349
584 1064
202 489
745 818
339 447
392 874
14 1026
51 375
500 903
717 1076
39 963
81 801
293 709
867 889
53 736
707 1124
765 976
301 501
305 852
109 1101
306 1144
24 442
511 812
318 726
131 168
34 101
11 694
234 356
498 977
531 905
77 516
351 899
347 1026
421 669
24 101
189 822
882 920
206 952
612 643
501 774
1145 1177
295 481
89 204
18 457
143 624
172 205
61 1013
432 731
613 1078
682 1104
250 725
365 972
309 433
606 709
349 863
57 1180
697 767
930 1044
190 460
318 804
374 784
912 1059
99 176
701 758
387 928
74 817
171 1023
764 781
572 647
232 798
216 465
212 539
87 115
19 720
491 670
206 313
463 850
148 380
100 451
168 263
129 1064
232 395
835 938
437 745
593 785
644 912
375 1074
194 1051
861 886
278 1141
222 1031
907 1144
424 880
559 1005
183 915
168 939
427 1160
383 1017
32 40
403 1161
21 910
138 915
662 930
79 321
732 929
540 769
14 286
777 861
310 523
318 377
634 787
288 962
499 961
24 126
202 244
578 814
199 373
102 808
648 690
140 950
31 343
377 947
239 1149
19 397
684 709
645 1045
252 630
436 635
188 726
431 993
52 212
819 896
44 371
100 716
51 1074
337 787
81 344
664 1092
406 417
173 987
415 854
156 704
632 1063
542 823
149 911
200 816
851 1072
747 758
877 1038
129 711
1104 1162
464 658
111 1150
705 822
303 1173
61 701
24 368
451 535
223 277
211 491
922 1008
604 1176
452 673
490 918
189 459
184 1070
686 1144
193 822
545 669
71 1045
3 1102
303 1022
831 1000
80 985
627 1148
80 316
434 996
318 1099
371 605
599 1005
359 984
846 981
180 1142
82 773
230 343
27 33
105 143
43 999
393 710
858 1114
366 396
722 878
505 992
427 816
508 849
344 528
349 806
320 461
273 892
88 1000
519 940
127 962
203 245
248 1141
458 912
651 772
366 689
176 419
93 1043
22 823
376 631
669 814
661 966
114 554
239 743
764 935
153 958
95 1032
557 755
272 838
34 832
473 926
484 980
475 740
723 882
803 1094
134 979
287 413
575 733
639 1166
319 767
831 1077
708 1130
146 1069
499 1101
42 773
380 584
198 489
46 111
421 661
614 780
143 594
434 626
476 1144
283 349
793 928
791 929
185 864
752 770
758 1128
6 38
508 1121
139 565
369 759
635 840
14 555
640 1027
482 700
474 993
931 934
341 926
74 173
20 599
660 1162
365 984
233 383
334 1012
254 372
479 820
714 1160
20 521
133 160
984 1119
305 939
52 1174
790 1078
391 1144
182 802
84 1073
973 1003
608 1039
516 1002
267 994
218 879
604 1143
94 804
177 871
611 1153
381 647
55 147
303 513
715 928
344 354
297 758
300 371
534 675
281 856
336 517
964 1050
237 458
875 1149
84 1010
14 990
263 531
118 1017
291 474
484 926
484 633
293 863
836 991
627 818
99 240
141 552
536 565
598 785
814 879
636 916
933 1023
580 1143
37 689
880 1067
690 934
710 858
792 919
509 1045
575 1156
280 315
213 824
844 1022
26 462
150 719
225 565
473 904
415 1157
534 853
796 856
452 823
468 795
102 669
367 999
370 1103
389 546
259 312
662 995
145 371
625 814
121 344
714 727
534 664
1056 1120
574 883
784 900
196 394
78 234
462 526
516 1105
630 1009
450 1105
151 1174
195 822
295 820
169 450
79 568
434 784
77 1105
65 621
427 1034
589 814
799 861
560 724
164 937
66 636
24 1134
119 226
287 1005
1054 1180
567 846
498 1102
856 1145
127 383
643 690
69 722
99 322
416 576
213 1002
296 465
19 371
1073 1186
512 582
10 330
172 679
492 801
975 1144
363 999
830 851
211 1008
159 747
258 969
69 91
1022 1151
9 955
546 642
222 893
499 761
29 399
24 444
915 1005
709 842
395 786
472 534
509 794
258 1012
541 1112
43 629
58 590
128 1041
97 693
540 781
402 434
55 411
25 491
602 736
484 653
218 984
593 598
233 1019
197 445
382 531
448 920
571 822
444 749
412 974
954 1181
591 890
1091 1139
746 872
98 845
233 350
691 832
400 705
547 677
818 1148
353 683
479 630
211 922
446 520
892 993
171 933
375 1031
95 814
176 1163
684 1171
15 994
658 1164
987 1066
275 977
127 288
266 437
434 836
294 350
635 757
125 373
121 619
86 201
134 915
291 363
357 561
406 970
25 397
79 621
427 801
332 970
428 647
182 368
360 651
45 890
192 425
285 939
79 129
283 1155
94 381
73 1083
395 1175
55 671
173 995
836 1060
106 708
88 500
225 399
44 687
8 332
500 962
374 939
122 707
760 996
7 899
764 795
382 623
147 905
514 1070
79 215
95 873
198 959
507 1175
656 988
80 770
186 1120
997 1104
388 508
233 1041
449 654
40 1048
394 547
138 862
39 485
8 690
546 1038
228 664
963 997
716 1095
38 594
43 223
156 395
562 724
17 655
441 563
40 83
456 1125
895 1110
161 573
312 377
609 1165
229 772
72 637
257 468
581 822
106 1130
1005 1129
1030 1136
113 1096
26 927
261 354
432 848
402 629
5 774
404 626
443 868
79 277
249 955
11 637
420 974
191 366
29 338
301 774
807 1170
776 883
406 588
259 627
124 1185
821 912
581 1053
124 767
354 927
77 550
432 968
110 540
584 771
756 985
326 638
463 1099
13 522
481 989
577 984
574 776
181 654
522 711
878 1152
441 531
985 1172
208 1127
558 644
915 919
540 592
993 1150
55 357
299 666
795 1156
214 384
469 1115
269 302
38 899
631 1067
1070 1120
1016 1083
733 1156
79 656
405 468
840 1042
333 1119
518 908
855 887
511 607
587 768
713 842
240 322
484 1087
314 425
794 968
252 294
498 752
715 869
275 932
429 835
86 822
214 554
32 939
360 1152
366 1055
214 947
452 657
186 505
234 336
403 888
164 738
484 520
861 1018
946 1162
503 897
464 1070
436 1186
706 1104
566 1182
235 513
638 899
694 1125
101 971
137 633
253 719
147 826
97 702
271 344
360 745
692 1101
1036 1114
132 857
133 488
383 1158
145 763
781 935
471 709
227 982
17 510
383 454
92 1109
296 823
687 731
484 810
176 930
23 737
531 579
154 850
563 974
432 1063
372 440
551 1000
385 999
438 1188
234 506
246 1098
387 1037
115 1178
1043 1049
196 1137
63 548
238 993
205 825
240 1070
160 1091
920 1015
1062 1109
278 496
358 1007
470 1145
27 401
691 1113
631 802
125 647
5 1027
274 714
956 1005
191 513
105 967
496 854
100 112
279 738
826 1002
597 795
135 545
531 703
269 924
225 867
55 1047
24 118
597 1038
271 847
119 1055
75 231
943 1175
605 640
498 805
268 592
761 834
533 633
122 499
65 97
657 673
292 1044
214 976
330 1083
364 899
880 1140
318 800
213 1127
324 851
228 1092
1069 1123
259 617
207 819
203 410
688 907
338 399
157 499
540 811
506 624
527 1096
531 541
245 1143
85 107
504 913
56 544
421 966
876 934
834 1173
158 814
49 920
491 884
635 1039
430 780
745 1159
874 974
278 893
48 372
847 1006
27 484
79 552
332 1079
694 852
113 160
386 1155
19 586
814 868
265 328
690 1071
562 1083
498 855
755 836
28 951
278 447
855 1087
325 1031
250 1118
467 1128
460 738
514 942
90 370
169 1082
429 938
734 1126
915 1179
45 591
318 556
685 824
692 1048
669 871
825 1029
507 943
146 1099
814 877
665 1016
104 702
295 634
721 907
1083 1110
67 276
335 354
107 420
748 866
65 478
712 895
115 1048
41 1067
887 1087
1106 1138
826 905
60 1108
69 869
414 1077
307 1068
715 986
209 867
131 930
75 91
58 1145
432 945
1015 1171
462 549
292 796
121 695
523 715
12 1119
220 278
839 1075
84 487
530 852
369 638
366 778
2 606
104 1187
663 926
274 450
205 320
295 1104
47 783
849 953
152 1182
383 1046
443 1104
480 994
337 634
290 1011
354 865
555 589
100 272
762 1154
407 828
616 999
181 969
512 698
525 739
841 961
722 730
809 1002
1034 1166
295 390
28 999
435 1158
76 848
504 570
984 1066
915 965
255 709
207 899
527 836
100 355
971 1002
635 746
484 910
128 610
205 1143
31 230
418 995
187 1048
279 397
100 858
295 543
234 639
589 653
14 75
500 875
1076 1099
861 889
157 949
4 379
504 631
264 1085
419 886
79 948
163 700
66 635
55 1131
352 364
194 236
214 435
768 1005
87 964
874 965
115 136
30 652
321 942
49 348
174 508
879 1133
68 590
561 923
434 807
39 862
178 859
29 152
735 1095
225 327
510 630
785 994
899 1085
676 705
257 1067
155 295
395 972
270 702
294 1002
775 901
427 477
396 665
392 965
360 942
311 984
84 954
277 471
11 409
888 1161
39 687
617 949
666 757
30 149
849 1040
18 75
401 851
107 198
85 420
491 655
389 713
43 120
895 1012
832 1068
712 1110
161 1048
445 767
145 786
694 763
615 1170
928 1165
473 1134
39 566
479 538
144 319
447 580
195 408
519 574
243 860
441 830
315 316
30 117
403 700
449 1003
225 891
906 918
813 1099
216 832
19 284
354 958
456 686
564 897
448 618
28 1060
33 814
17 722
993 1113
80 353
67 422
290 741
1035 1146
383 843
110 578
725 1153
310 394
59 857
225 1049
351 1063
859 881
109 692
430 899
260 915
610 926
478 621
324 809
540 1053
520 1084
415 647
43 457
273 434
433 564
191 235
114 978
431 1136
426 518
200 1163
173 291
180 234
64 259
745 1135
241 366
625 1072
728 914
282 901
567 981
356 384
466 1149
14 67
92 1107
622 722
172 742
219 1091
494 1014
494 1168
271 1006
1028 1066
5 970
1004 1104
22 1111
35 394
915 1133
160 795
766 1131
329 537
152 1051
31 472
233 964
584 609
268 311
703 937
702 1093
359 572
70 1181
932 977
205 649
766 795
407 470
1031 1096
228 427
276 1083
638 1081
366 864
488 1169
391 1025
393 1019
400 508
811 1106
550 906
894 1083
684 1015
136 793
166 866
120 988
582 1048
19 1061
43 792
740 928
797 1111
810 1036
219 1139
251 1187
630 756
35 902
833 1121
216 296
958 1122
507 669
823 955
276 422
488 993
795 1171
654 1024
42 82
485 517
872 1089
135 472
229 1099
36 328
253 920
237 584
717 1104
631 859
36 522
267 829
302 795
379 928
543 730
54 525
469 750
459 462
600 791
295 754
522 1037
782 1118
33 401
472 888
19 1116
19 1154
175 694
187 1129
803 865
466 875
152 185
318 337
739 814
505 540
840 1184
392 715
367 990
476 783
371 1088
590 1012
502 824
241 837
324 1071
616 751
450 518
496 1118
87 1050
423 508
122 1124
209 889
690 914
146 1123
577 768
52 1090
44 731
787 861
686 1125
502 685
261 1147
50 631
6 498
259 304
756 1172
304 390
53 602
190 836
526 544
860 1065
725 1136
600 929
449 973
738 1054
505 569
758 1122
225 900
43 1058
322 974
226 500
1010 1057
973 993
188 745
52 936
320 1097
759 912
239 280
865 1094
1177 1179
563 830
386 427
59 132
766 975
393 1107
76 442
709 897
96 968
431 1030
48 1188
166 450
663 778
173 1126
310 1132
289 1117
346 898
462 729
278 308
797 984
630 844
63 1178
432 1036
493 1083
57 1054
486 1129
75 418
654 1144
213 288
335 477
171 360
15 319
178 1002
24 623
832 908
553 925
214 1075
160 264
1035 1107
24 536
741 1011
685 831
212 1020
79 173
117 993
114 173
753 788
735 926
941 1010
450 1100
112 118
82 1005
283 386
872 915
3 693
233 1057
183 595
402 917
1070 1151
178 881
498 499
450 1023
52 1180
100 424
74 596
155 843
395 841
213 1109
1014 1168
117 652
535 635
418 662
293 1052
486 912
158 204
16 105
185 779
284 542
257 405
306 440
381 804
1 952
638 733
988 1143
608 745
181 258
734 856
667 769
205 829
928 1030
417 588
192 214
345 395
208 884
154 463
972 998
561 1104
413 628
177 959
584 591
838 851
163 444
378 1159
285 892
317 330
13 891
109 702
718 1046
912 1176
788 974
795 876
678 991
596 912
259 601
500 923
602 709
66 916
616 649
581 672
266 620
690 1157
98 960
21 646
394 429
806 940
603 904
219 505
579 1076
326 380
103 484
458 1061
304 376
615 807
1 483
631 1187
498 539
358 462
356 1167
237 1061
613 851
193 759
2 308
414 720
484 573
522 984
696 979
43 467
847 994
487 553
91 869
469 496
242 1099
230 861
532 1126
453 920
624 944
523 1132
669 728
336 485
715 982
214 974
744 1086
360 896
596 817
225 342
166 748
170 997
720 1077
682 1035
490 906
213 595
400 676
163 749
750 1115
333 366
1160 1161
436 1073
344 1184
323 747
153 234
782 993
789 1154
355 1029
409 1185
217 1128
461 1097
394 700
573 1183
460 706
155 184
297 956
96 1144
193 369
395 851
610 1041
159 323
1004 1117
454 549
432 1028
218 1133
84 398
312 947
198 546
305 530
214 773
51 522
554 978
566 948
5 1029
113 527
539 1020
681 691
90 1103
35 428
541 853
839 858
92 1062
286 898
225 647
903 1080
54 1031
816 1163
224 1031
175 535
379 482
52 1094
738 1080
515 623
537 699
43 314
214 438
796 1044
637 936
495 729
116 183
710 1019
362 893
453 979
303 672
339 654
55 776
39 909
80 407
160 246
835 1104
428 902
992 1037
1147 1160
259 1069
157 617
325 798
56 1107
371 704
549 1100
300 1009
52 1106
3 115
136 341
576 1001
198 275
98 371
241 894
679 742
26 986
2 433
103 770
343 433
517 993
970 1007
975 1131
648 1121
980 1007
43 1164
176 265
247 569
853 1112
149 194
140 529
941 1057
206 439
213 798
472 772
24 1107
597 877
57 499
809 1071
456 509
233 348
584 1095
84 497
71 645
238 1153
394 1092
577 587
690 857
669 1056
383 583
472 600
205 983
642 961
222 362
503 823
54 739
871 959
161 1183
1067 1146
800 1018
779 926
34 971
165 1018
295 749
55 491
913 1144
115 918
173 1172
347 999
496 783
220 806
851 932
620 638
115 203
338 939
450 767
170 531
550 827
217 467
499 1186
426 908
85 999
321 514
50 543
638 723
503 564
884 1127
779 864
162 1005
478 1067
152 201
654 951
75 83
19 661
130 1137
115 815
837 894
236 1051
500 630
289 1004
611 732
660 946
650 831
740 1090
25 279
668 1176
309 982
223 471
493 678
683 939
614 832
391 601
160 249
638 1103
187 486
709 1137
475 1090
298 608
313 1177
59 519
480 737
239 719
579 717
470 828
55 681
694 748
149 1115
18 885
232 325
142 778
746 1089
351 632
500 883
640 654
134 696
410 519
538 820
863 1052
328 1145
342 1046
359 813
1 11
295 615
645 1005
49 221
262 609
728 1093
372 659
669 698
295 924
837 899
711 1064
582 698
280 316
453 819
454 1100
515 1031
368 802
90 690
583 1058
647 712
491 538
484 524
639 1034
47 205
522 775
693 1102
80 366
43 950
357 923
60 398
37 856
732 1074
808 926
4 482
331 546
547 921
75 217
550 628
603 738
389 842
86 331
433 707
530 635
306 385
60 974
340 680
72 1083
352 360
239 303
123 631
139 536
876 931
8 1079
133 1169
524 805
455 534
167 1142
9 249
850 1143
246 1024
522 790
909 956
408 732
679 722
137 738
846 994
683 957
548 1178
491 1098
413 999
701 1013
668 999
598 832
256 568
434 931
323 832
56 526
926 943
252 350
833 858
437 620
376 390
534 1033
255 558
926 1124
96 794
84 234
619 758
300 674
152 511
915 953
80 676
184 843
650 792
250 782
508 758
483 952
125 199
70 954
144 233
672 1053
55 960
647 724
492 1145
721 970
583 1047
612 777
570 913
930 1188
578 659
80 1084
282 1005
150 253
603 916
244 519
165 800
6 594
911 1088
729 821
708 1160
904 1134
81 492
832 1086
464 1164
743 805
224 408
234 812
657 722
210 1021
286 346
649 751
439 755
939 1083
736 822
262 1107
861 873
142 499
266 519
287 628
641 702
531 1011
247 641
498 636
374 900
89 158
519 898
244 489
613 790
188 675
220 940
58 68
704 870
292 984
84 558
339 580
207 896
108 1083
213 553
80 340
130 509
248 327
953 1040
139 1099
532 1143
79 119
448 559
226 1055
939 1082
341 793
318 944
844 1151
681 1113
9 1104
261 281
140 225
948 1182
175 451
761 1173
270 367
197 214
537 858
41 108
198 307
371 1142
227 709
593 1070
665 1160
383 1139
233 935
494 858
167 1002
173 751
62 744
308 606
89 371
256 983
453 1169
795 1108
248 1031
233 1008
396 1016
545 754
72 936
234 1020
126 267
490 630
329 699
629 917
854 1157
126 829
239 744
45 206
834 926
529 700
281 1147
654 890
15 144
646 910
143 259
385 440
73 886
495 1048
39 912
411 1174
677 921
902 970
671 760
426 974
47 476
1024 1098
106 383
718 1048
502 767
149 361
404 622
650 919
499 741
53 491
548 861
669 901
505 576
335 388
493 991
110 659
568 983
642 841
128 214
5 151
340 1081
586 1080
922 999
116 427
994 998
1047 1058
378 638
501 1031
601 1025
165 205
927 986
317 1012
439 557
638 949
152 1025
355 825
967 1067
14 1021
383 417
481 1059
715 1183
97 148
453 588
762 851
318 966
100 1013
23 480
845 960
73 419
584 828
509 760
370 496
84 1123
342 718
41 697
383 646
270 990
930 1130
603 845
404 1031
491 557
363 474
7 878
143 969
120 656
112 1017
491 696
123 1082
928 1006
197 571
273 285
689 945
732 823
822 832
700 1138
141 550
162 352
124 409
1012 1079
1001 1099
360 475
725 887
10 317
607 812
307 334
738 866
225 1042
713 1144
433 725
643 777
END_EDGES
Give your final answer inside &lt;answer&gt;&lt;/answer&gt; tags, as a comma-separated list
of exactly 770 distinct vertex integers.
Syntax example only, for a hypothetical instance asking for three vertices:
&lt;answer&gt;3, 17, 42&lt;/answer&gt;
Output nothing else inside the tags.</t>
        </is>
      </c>
      <c r="L28" s="6" t="inlineStr">
        <is>
          <t>[535, 684, 979, 935, 913, 329, 471, 531, 752, 242, 663, 887, 880, 813, 617, 609, 205, 758, 806, 1071, 781, 372, 1003, 787, 189, 710, 542, 602, 677, 981, 715, 650, 1154, 437, 38, 3, 712, 1060, 645, 103, 548, 247, 669, 622, 490, 509, 318, 826, 546, 1169, 375, 704, 111, 744, 674, 1149, 1181, 69, 523, 615, 390, 777, 878, 127, 161, 1029, 330, 857, 1082, 1170, 374, 276, 993, 209, 1167, 1057, 527, 419, 551, 968, 135, 232, 146, 377, 1135, 1061, 396, 45, 688, 348, 841, 411, 224, 261, 625, 6, 779, 1020, 1125, 310, 137, 445, 334, 177, 20, 290, 314, 433, 147, 397, 215, 126, 174, 496, 604, 989, 620, 190, 592, 789, 937, 972, 1136, 711, 153, 214, 742, 719, 1092, 406, 1054, 176, 79, 378, 479, 272, 510, 204, 1162, 1104, 249, 652, 292, 33, 1090, 654, 1114, 258, 409, 812, 914, 113, 305, 768, 1037, 999, 746, 873, 308, 80, 544, 1188, 842, 729, 632, 1152, 881, 855, 991, 1, 1043, 243, 879, 327, 104, 805, 1023, 199, 775, 603, 301, 799, 81, 858, 963, 361, 696, 169, 114, 687, 368, 1163, 473, 426, 1039, 1109, 303, 457, 743, 581, 220, 1139, 627, 590, 591, 182, 143, 1111, 1175, 964, 949, 352, 345, 324, 82, 61, 765, 661, 223, 717, 467, 679, 424, 582, 629, 57, 32, 1021, 360, 485, 447, 241, 790, 12, 1127, 910, 321, 1045, 543, 851, 952, 443, 705, 379, 689, 735, 1166, 1115, 151, 695, 1019, 732, 449, 899, 637, 681, 824, 1121, 567, 256, 369, 519, 162, 978, 145, 93, 828, 319, 166, 1153, 470, 834, 461, 184, 534, 980, 235, 229, 924, 1106, 769, 1031, 423, 865, 1173, 344, 1105, 304, 1077, 279, 634, 736, 427, 641, 333, 4, 289, 313, 228, 912, 144, 1137, 1183, 284, 616, 226, 255, 1089, 840, 67, 335, 13, 299, 589, 997, 62, 489, 891, 907, 201, 818, 724, 1177, 349, 269, 817, 530, 988, 1063, 110, 931, 1155, 983, 893, 29, 159, 179, 853, 446, 860, 623, 328, 1028, 463, 708, 307, 782, 920, 811, 892, 84, 686, 1013, 639, 1038, 244, 716, 803, 1062, 288, 28, 420, 121, 888, 296, 830, 101, 547, 58, 1079, 1100, 868, 440, 1053, 670, 27, 1171, 662, 798, 268, 751, 452, 436, 196, 65, 1133, 909, 956, 250, 158, 982, 749, 465, 575, 563, 72, 286, 131, 733, 1185, 994, 1001, 1046, 30, 1168, 525, 776, 23, 1091, 954, 1080, 922, 588, 1164, 1124, 720, 608, 64, 757, 42, 526, 1076, 848, 191, 1042, 850, 95, 326, 464, 1098, 1141, 165, 444, 1084, 1151, 350, 558, 1120, 1172, 112, 90, 643, 194, 1014, 946, 849, 570, 171, 539, 601, 405, 1055, 750, 1047, 895, 832, 383, 439, 877, 866, 252, 1050, 955, 285, 1147, 503, 460, 164, 192, 22, 792, 607, 767, 1113, 700, 283, 264, 31, 280, 245, 222, 133, 421, 240, 845, 1178, 874, 495, 778, 514, 694, 499, 491, 636, 1075, 844, 808, 731, 120, 1134, 577, 958, 1030, 572, 459, 791, 17, 505, 740, 580, 1081, 484, 474, 356, 400, 125, 804, 246, 1051, 257, 950, 1073, 1159, 943, 518, 1018, 1126, 357, 230, 975, 208, 36, 1027, 730, 1036, 998, 560, 434, 970, 795, 911, 381, 555, 995, 723, 200, 1083, 1052, 416, 1044, 312, 938, 388, 478, 1069, 180, 75, 323, 678, 458, 917, 317, 1131, 21, 270, 187, 97, 624, 404, 549, 413, 595, 291, 1009, 428, 862, 52, 553, 315, 793, 788, 132, 415, 886, 618, 996, 536, 990, 341, 188, 322, 109, 671, 559, 675, 96, 665, 713, 40, 837, 1004, 586, 1107, 227, 1011, 1008, 739, 977, 941, 1006, 1128, 47, 86, 1064, 755, 380, 593, 820, 1130, 683, 435, 756, 1116, 900, 566, 391, 1002, 611, 275, 699, 965, 934, 412, 856, 610, 889, 115, 957, 1157, 152, 287, 550, 774, 48, 251, 606, 306, 1093, 584, 225, 282, 819, 122, 451, 91, 718, 358, 1182, 221, 984, 959, 648, 772, 927, 181, 1041, 156, 685, 945, 387, 599, 497, 1088, 476, 274, 355, 633, 442, 26, 382, 35, 338, 74, 987, 34, 168, 754, 785, 714, 51, 336, 918, 896, 668, 1161, 195, 967, 1103, 1078, 193, 960, 1056, 829, 430, 737, 915, 897, 786, 640, 600, 578, 410, 561, 66, 18, 118, 642, 864, 231, 1165, 657, 346, 585, 516, 105, 1040, 371, 1000, 107, 1058, 46, 1026, 571, 60, 815, 506, 8, 155, 529, 1112, 41, 1102, 552, 481, 1129, 532, 631, 682, 429, 500, 108, 167, 139, 271, 859, 466, 925, 116, 780, 883, 150, 680, 1146, 78, 1097, 692, 398, 293, 512, 492]</t>
        </is>
      </c>
    </row>
    <row r="29">
      <c r="A29" s="2" t="inlineStr">
        <is>
          <t>2310.02137</t>
        </is>
      </c>
      <c r="B29" s="2" t="inlineStr">
        <is>
          <t>Random Diophantine Equations in the Primes II</t>
        </is>
      </c>
      <c r="C29" s="2" t="inlineStr">
        <is>
          <t>integer equations</t>
        </is>
      </c>
      <c r="D29" s="3" t="inlineStr">
        <is>
          <t>https://arxiv.org/abs/2310.02137</t>
        </is>
      </c>
      <c r="E29" s="2" t="inlineStr">
        <is>
          <t>easy</t>
        </is>
      </c>
      <c r="F29" s="2" t="inlineStr">
        <is>
          <t>{"n": 60, "weight_bits": 60}</t>
        </is>
      </c>
      <c r="G29" s="4" t="inlineStr">
        <is>
          <t>yes</t>
        </is>
      </c>
      <c r="H29" s="5" t="n">
        <v>2782</v>
      </c>
      <c r="I29" s="2" t="inlineStr"/>
      <c r="J29" s="5" t="n">
        <v>18</v>
      </c>
      <c r="K29" s="6" t="inlineStr">
        <is>
          <t>BALANCED PRIME-COORDINATE QUADRATIC EQUATION
There are 60 ordered variables x_1,...,x_60.  Each variable must be one of
the two primes p=1000000007 and q=1000000009.  Exactly 30 variables must equal q; all
other variables must equal p.  Thus repeats of prime values are required, but
an index can be chosen only once.  Indices are 1-based and run from 1 through
60, inclusive.
For the integer weights a_i below, define
  A(x) = sum from i=1 to 60 of a_i*x_i,
  S(x) = sum from i=1 to 60 of x_i,
  F(x) = A(x)*S(x).
This is a homogeneous polynomial of degree 2.  Equivalently, the coefficient
of x_i^2 is a_i and the coefficient of x_i*x_j for i&lt;j is a_i+a_j.  All
arithmetic is exact integer arithmetic.  Find a permitted, non-diagonal prime
tuple for which F(x)=0.  (The exact-30 rule already makes it non-diagonal.)
Weights, in `index: a_i` format:
  1: 201744926749750386
  2: -236190635138249482
  3: -235855273732461357
  4: 92165995908707890
  5: 158886375344165736
  6: -264862717706211684
  7: 464954358761330050
  8: -136643970610399663
  9: 308071132815812057
  10: 293424096056057951
  11: -451455250846823577
  12: -80531158486950486
  13: 568968191006836916
  14: -356749021411770769
  15: -545465331073981305
  16: -228439170742185669
  17: -316640032348025627
  18: 484466865033741747
  19: -400633730573931151
  20: 40497781428290016
  21: -25072291353854531
  22: -483786223499224273
  23: 76642303669397404
  24: 56721430268439329
  25: -375546423200042832
  26: 254878382768027099
  27: 184178611133057774
  28: -89180955890425073
  29: 140040321007645534
  30: 14353947425960312
  31: 400073967201538567
  32: 11296662399727763
  33: -379777721289259842
  34: 148102692969213981
  35: 188393656213546513
  36: -59998765023248361
  37: -106615977783101604
  38: 313711933242438246
  39: 561873822129918675
  40: -352585598143378188
  41: 460014027589689421
  42: 204868873714560520
  43: -527130777500962172
  44: 523628836037960237
  45: -193908103769404118
  46: -288779493062858124
  47: 242819151034855797
  48: 397205089806019702
  49: -119587971355474802
  50: -501084917345208740
  51: 6564161603968510
  52: -417019664429545264
  53: -173465594269092178
  54: -41768146609954407
  55: 373388666544056853
  56: 188621849477418644
  57: 469532073537145874
  58: -354094795988640679
  59: -133637839855558311
  60: 46417370160944765
Output the 30 distinct indices whose variables equal q.  Their order in the
answer does not matter; every unlisted index is assigned p.
Give your final answer inside &lt;answer&gt;&lt;/answer&gt; tags, as 30 comma-separated
base-10 integers.  Example of format only:
&lt;answer&gt;1, 2, 3, 4, 5, 6, 7, 8, 9, 10, 11, 12, 13, 14, 15, 16, 17, 18, 19, 20, 21, 22, 23, 24, 25, 26, 27, 28, 29, 30&lt;/answer&gt;
Output nothing else inside the tags.</t>
        </is>
      </c>
      <c r="L29" s="6" t="inlineStr">
        <is>
          <t>[2, 3, 6, 7, 8, 9, 13, 14, 15, 16, 18, 19, 27, 28, 29, 33, 35, 36, 38, 40, 41, 43, 44, 47, 48, 49, 52, 54, 57, 58]</t>
        </is>
      </c>
    </row>
    <row r="30">
      <c r="A30" s="2" t="inlineStr">
        <is>
          <t>2408.17266</t>
        </is>
      </c>
      <c r="B30" s="2" t="inlineStr">
        <is>
          <t>Sufficient conditions for solvability of linear Diophantine equations, and Frobenius numbers</t>
        </is>
      </c>
      <c r="C30" s="2" t="inlineStr">
        <is>
          <t>integer equations</t>
        </is>
      </c>
      <c r="D30" s="3" t="inlineStr">
        <is>
          <t>https://arxiv.org/abs/2408.17266</t>
        </is>
      </c>
      <c r="E30" s="2" t="inlineStr">
        <is>
          <t>hard</t>
        </is>
      </c>
      <c r="F30" s="2" t="inlineStr">
        <is>
          <t>{"n": 54, "layers": 7}</t>
        </is>
      </c>
      <c r="G30" s="4" t="inlineStr">
        <is>
          <t>yes</t>
        </is>
      </c>
      <c r="H30" s="5" t="n">
        <v>7075</v>
      </c>
      <c r="I30" s="2" t="inlineStr"/>
      <c r="J30" s="5" t="n">
        <v>67</v>
      </c>
      <c r="K30" s="6" t="inlineStr">
        <is>
          <t>Find a nonnegative integer solution of one linear Diophantine equation.
Definitions and exact encoding.
There are m=378 variables x_1,...,x_378, indexed from 1.
Let q=54, B=55, and U=162. Ground-element labels are the integers 0 through 161.
Each variable i has a listed support triple (u,v,w) of three distinct ground elements.
Its raw coefficient is A_i = B^U + B^u + B^v + B^w. Let d=2.
The equation coefficient is the exact integer a_i=A_i/d.
The exact right-hand side is
    b = (q*B^U + sum(B^j for j=0,...,U-1))/d.
For this instance, b=23456778761009514050779956789076259161372335489089752279276823316747362969127841132037624244969773279960508288083834692422623912341586193985400443830180289539069234117823738111739589677768484055122974643443334483252555945358942887495942563408654780124876729722153093596851384198224103.
You must find nonnegative integers satisfying sum(a_i*x_i for i=1,...,m)=b.
The base encoding guarantees that every solution has exactly q entries equal to 1 and all other entries 0.
Therefore output exactly q distinct variable indices; omitted indices mean x_i=0 and listed indices mean x_i=1.
Order does not matter. Repeats are forbidden. Equivalently, the q listed support triples must cover every ground element exactly once.
Support triples, one per line in the parseable format `index: u v w`:
1: 56 106 153
2: 6 11 32
3: 28 138 147
4: 8 14 51
5: 6 64 82
6: 11 65 155
7: 17 84 156
8: 44 113 145
9: 48 74 125
10: 13 81 84
11: 20 101 112
12: 42 86 103
13: 35 48 96
14: 2 18 83
15: 30 49 59
16: 98 106 109
17: 44 69 108
18: 50 143 154
19: 5 68 154
20: 97 122 147
21: 12 46 118
22: 23 40 122
23: 14 72 85
24: 8 83 144
25: 42 85 144
26: 59 114 125
27: 66 79 159
28: 18 25 28
29: 38 72 78
30: 44 97 108
31: 0 65 105
32: 78 83 96
33: 29 70 75
34: 5 10 58
35: 10 20 152
36: 51 70 106
37: 37 79 134
38: 32 119 136
39: 32 40 160
40: 30 39 156
41: 16 117 123
42: 32 121 134
43: 11 102 105
44: 26 85 152
45: 39 86 147
46: 31 76 129
47: 25 54 137
48: 1 38 139
49: 48 148 155
50: 9 80 90
51: 26 94 130
52: 14 98 121
53: 54 85 111
54: 89 138 156
55: 63 145 148
56: 29 40 45
57: 30 39 148
58: 1 85 130
59: 27 74 102
60: 21 31 115
61: 39 50 155
62: 51 54 91
63: 72 111 116
64: 37 127 136
65: 80 88 111
66: 7 21 82
67: 67 146 157
68: 42 74 104
69: 46 71 113
70: 37 63 87
71: 0 5 42
72: 49 85 107
73: 33 67 101
74: 24 52 143
75: 20 112 126
76: 42 54 131
77: 57 100 136
78: 13 73 109
79: 88 96 161
80: 41 52 84
81: 96 151 159
82: 28 48 66
83: 111 142 157
84: 47 77 134
85: 114 121 161
86: 24 37 106
87: 0 82 135
88: 56 124 139
89: 29 35 103
90: 96 107 120
91: 69 128 138
92: 23 50 57
93: 60 87 119
94: 36 44 140
95: 44 120 132
96: 48 77 152
97: 22 29 46
98: 24 150 158
99: 33 138 153
100: 6 59 79
101: 35 92 159
102: 82 100 121
103: 3 59 75
104: 43 53 127
105: 51 68 154
106: 37 74 88
107: 99 107 137
108: 9 50 102
109: 20 81 88
110: 91 118 122
111: 23 46 124
112: 9 27 152
113: 21 74 91
114: 13 39 74
115: 0 82 123
116: 30 60 103
117: 36 63 88
118: 55 124 151
119: 128 137 144
120: 4 51 135
121: 11 133 136
122: 70 97 141
123: 2 95 148
124: 81 116 156
125: 14 20 141
126: 29 130 158
127: 1 40 71
128: 17 33 73
129: 16 122 128
130: 81 96 150
131: 31 72 86
132: 87 137 152
133: 18 22 126
134: 29 84 118
135: 21 34 109
136: 10 60 116
137: 61 89 104
138: 16 68 124
139: 27 58 126
140: 7 150 155
141: 47 99 114
142: 6 28 70
143: 19 95 109
144: 52 112 143
145: 35 57 62
146: 70 104 135
147: 98 110 112
148: 46 97 137
149: 38 47 157
150: 14 32 75
151: 0 17 120
152: 15 31 53
153: 61 89 154
154: 89 113 119
155: 5 6 70
156: 59 129 160
157: 17 25 41
158: 11 49 108
159: 65 92 138
160: 2 8 43
161: 41 66 160
162: 4 11 148
163: 43 126 142
164: 73 108 146
165: 3 5 144
166: 26 55 100
167: 12 94 140
168: 49 132 139
169: 27 101 127
170: 2 19 76
171: 3 86 93
172: 74 77 132
173: 66 80 133
174: 13 76 87
175: 0 45 155
176: 69 111 151
177: 27 76 159
178: 5 93 103
179: 23 58 147
180: 45 128 129
181: 81 87 142
182: 52 87 131
183: 2 14 125
184: 18 24 36
185: 25 75 136
186: 17 21 124
187: 24 90 150
188: 9 12 99
189: 1 64 133
190: 100 132 161
191: 19 86 119
192: 22 150 157
193: 36 117 146
194: 67 123 158
195: 77 95 120
196: 15 62 93
197: 26 107 130
198: 41 95 138
199: 109 140 145
200: 101 112 136
201: 7 8 154
202: 64 69 149
203: 59 122 161
204: 16 64 83
205: 6 143 157
206: 33 111 154
207: 52 61 156
208: 16 69 73
209: 13 84 127
210: 58 115 134
211: 38 52 122
212: 3 77 94
213: 19 38 89
214: 51 115 149
215: 9 82 121
216: 85 127 153
217: 40 66 145
218: 57 135 143
219: 56 80 124
220: 31 36 47
221: 62 92 130
222: 55 93 129
223: 28 44 135
224: 12 36 76
225: 47 56 83
226: 28 101 114
227: 99 113 125
228: 62 64 110
229: 6 100 153
230: 30 66 140
231: 15 113 138
232: 40 98 99
233: 18 48 106
234: 57 66 115
235: 14 120 131
236: 3 25 31
237: 70 71 133
238: 9 93 146
239: 34 61 68
240: 63 116 128
241: 89 104 142
242: 51 127 134
243: 53 71 99
244: 10 21 139
245: 37 80 106
246: 119 141 145
247: 58 105 146
248: 20 47 109
249: 32 75 103
250: 104 131 145
251: 19 37 95
252: 27 115 144
253: 117 118 149
254: 79 83 104
255: 10 72 110
256: 16 30 161
257: 71 115 126
258: 62 123 158
259: 26 43 91
260: 43 112 127
261: 58 97 161
262: 1 76 90
263: 4 28 125
264: 61 67 130
265: 48 98 147
266: 12 67 82
267: 3 65 129
268: 102 119 155
269: 25 68 157
270: 24 53 73
271: 25 69 130
272: 94 105 145
273: 107 144 149
274: 36 60 91
275: 7 23 55
276: 34 105 151
277: 43 152 154
278: 42 67 108
279: 29 53 98
280: 15 35 64
281: 45 65 159
282: 78 83 160
283: 135 141 158
284: 88 117 146
285: 67 97 153
286: 34 77 123
287: 22 95 115
288: 3 54 101
289: 2 43 45
290: 129 141 143
291: 55 118 139
292: 4 23 75
293: 46 73 155
294: 72 146 150
295: 19 79 110
296: 41 56 59
297: 61 78 92
298: 76 117 158
299: 26 52 68
300: 8 113 136
301: 128 131 158
302: 8 17 116
303: 60 118 157
304: 90 121 135
305: 64 65 142
306: 10 126 159
307: 12 55 102
308: 33 34 91
309: 1 81 133
310: 38 121 156
311: 18 96 153
312: 47 80 133
313: 4 23 84
314: 4 9 99
315: 132 141 143
316: 24 27 49
317: 10 110 153
318: 32 151 160
319: 53 106 152
320: 39 92 114
321: 88 108 140
322: 102 123 160
323: 55 132 147
324: 33 44 77
325: 110 114 148
326: 7 113 156
327: 15 31 144
328: 39 122 123
329: 0 133 137
330: 50 79 87
331: 15 93 102
332: 11 63 103
333: 22 75 91
334: 42 81 134
335: 13 54 105
336: 17 89 112
337: 34 124 128
338: 1 57 62
339: 41 95 149
340: 49 63 97
341: 2 18 139
342: 30 35 65
343: 78 101 159
344: 22 26 139
345: 49 50 137
346: 8 108 151
347: 54 57 120
348: 56 107 114
349: 7 86 119
350: 38 69 90
351: 61 125 142
352: 21 40 41
353: 46 73 79
354: 84 90 116
355: 13 78 105
356: 20 63 71
357: 5 104 117
358: 56 62 103
359: 45 71 141
360: 60 94 149
361: 117 126 131
362: 53 90 107
363: 4 19 92
364: 12 45 134
365: 7 33 92
366: 86 120 150
367: 34 100 129
368: 78 94 148
369: 16 109 140
370: 35 118 132
371: 80 98 140
372: 15 58 68
373: 147 160 161
374: 22 60 151
375: 50 93 110
376: 100 116 142
377: 111 125 149
378: 72 94 131
Give your final answer inside &lt;answer&gt;&lt;/answer&gt; tags, as exactly q comma-separated 1-indexed variable indices.
Example format: &lt;answer&gt;3, 17, 42, 58&lt;/answer&gt;
Output nothing else inside the tags.</t>
        </is>
      </c>
      <c r="L30" s="6" t="inlineStr">
        <is>
          <t>[18, 25, 45, 49, 59, 60, 83, 104, 120, 121, 124, 127, 132, 134, 137, 142, 145, 147, 150, 151, 156, 159, 170, 178, 187, 190, 194, 204, 211, 215, 227, 230, 245, 246, 248, 271, 274, 275, 284, 288, 306, 311, 324, 337, 339, 340, 344, 346, 348, 353, 355, 364, 372, 378]</t>
        </is>
      </c>
    </row>
    <row r="31">
      <c r="A31" s="2" t="inlineStr">
        <is>
          <t>2302.11250</t>
        </is>
      </c>
      <c r="B31" s="2" t="inlineStr">
        <is>
          <t>Dynamic Debt Swapping in Financial Networks</t>
        </is>
      </c>
      <c r="C31" s="2" t="inlineStr">
        <is>
          <t>reconfiguration</t>
        </is>
      </c>
      <c r="D31" s="3" t="inlineStr">
        <is>
          <t>https://arxiv.org/abs/2302.11250</t>
        </is>
      </c>
      <c r="E31" s="2" t="inlineStr">
        <is>
          <t>easy</t>
        </is>
      </c>
      <c r="F31" s="2" t="inlineStr">
        <is>
          <t>{"n": 24, "spread": 0.3, "attack_filter": true}</t>
        </is>
      </c>
      <c r="G31" s="4" t="inlineStr">
        <is>
          <t>yes</t>
        </is>
      </c>
      <c r="H31" s="5" t="n">
        <v>3907</v>
      </c>
      <c r="I31" s="2" t="inlineStr"/>
      <c r="J31" s="5" t="n">
        <v>208</v>
      </c>
      <c r="K31" s="6" t="inlineStr">
        <is>
          <t>Semi-positive debt-swap reachability
A financial network is a directed multigraph of banks and named debt contracts.
A contract e=(debtor -&gt; creditor, liability L) pays an integer amount between 0
and L.  A bank's total assets are its nonnegative integer external assets plus
all incoming payments.  It pays those assets along its outgoing contracts in
increasing rank order, filling each liability before paying the next.  Unspent
assets are allowed only after all outgoing liabilities are full.  This instance
is acyclic, so its clearing state is obtained exactly by processing debtors
before creditors.  Banks and contracts not assigned external assets have 0.
A debt swap chooses two CURRENT contracts with the same liability.  If their
current endpoints are u1-&gt;v1 and u2-&gt;v2, then u1,u2,v1,v2 must be four pairwise
distinct banks.  The swap changes them to u1-&gt;v2 and u2-&gt;v1.  Contract names,
debtors, liabilities, and ranks never change.  A swap is semi-positive when,
comparing exact clearing states immediately before and after it, both old
creditors v1 and v2 have weakly larger total assets and exactly one has strictly
larger total assets.
All indices below are 0-based.  Let q=24, so there are 72 item banks and
2q-1 gate banks.  The complete bank set is:
  V, R;
  I0..I71, C0..C71;
  U0..U46;
  S0..S22, D0..D22.
External assets of item bank Ii are listed as index:value:
  0:1345, 1:1387, 2:1428, 3:1650, 4:1450, 5:1434, 6:1346, 7:1586, 8:1363, 9:1432, 10:1514, 11:1544, 12:1548, 13:1435, 14:1589, 15:1339, 16:1537, 17:1638, 18:1563, 19:1484, 20:1453, 21:1583, 22:1335, 23:1542, 24:1430, 25:1515, 26:1452, 27:1540, 28:1653, 29:1412, 30:1324, 31:1461, 32:1443, 33:1632, 34:1524, 35:1652, 36:1333, 37:1590, 38:1449, 39:1550, 40:1584, 41:1502, 42:1362, 43:1534, 44:1395, 45:1599, 46:1405, 47:1410, 48:1489, 49:1375, 50:1309, 51:1568, 52:1468, 53:1312, 54:1497, 55:1447, 56:1582, 57:1349, 58:1456, 59:1651, 60:1641, 61:1343, 62:1337, 63:1526, 64:1462, 65:1483, 66:1367, 67:1633, 68:1454, 69:1493, 70:1645, 71:1469
Every listed item value is strictly between T/4 and T/2; consequently exactly
three item payments, neither fewer nor more, can total T.
Each Sj has external assets 1.  Every other bank has external assets 0.
The complete initial contract set is defined by these inclusive index ranges:
  i&lt;idx&gt;: I&lt;idx&gt; -&gt; R, liability c=8887, rank 0, for idx=0..71.
  c&lt;idx&gt;: C&lt;idx&gt; -&gt; V, liability c=8887, rank 0, for idx=0..71.
  g&lt;h&gt;: V -&gt; U&lt;h&gt;, rank h, for h=0..46; its liability is T=4443
      when h is even and 1 when h is odd.
  r&lt;j&gt;: U(2j) -&gt; R, liability M=8889, rank 0, for j=0..23.
  p&lt;j&gt;: S&lt;j&gt; -&gt; U(2j+1), liability d=8888, rank 0, for j=0..22.
  d&lt;j&gt;: D&lt;j&gt; -&gt; V, liability d=8888, rank 0, for j=0..22.
Here, for example, i7 is the literal contract name "i7", and U(2j+1)
means the bank whose name is obtained by evaluating 2j+1 (for j=2, bank U5).
The target network keeps every debtor, liability, and rank unchanged.  Its
creditors are:
  i&lt;i&gt; -&gt; V and c&lt;i&gt; -&gt; R for every i=0..71;
  p&lt;j&gt; -&gt; V for every j=0..22;
  the d-contract targets are: d0-&gt;U39, d1-&gt;U11, d2-&gt;U15, d3-&gt;U31, d4-&gt;U25, d5-&gt;U43, d6-&gt;U5, d7-&gt;U13, d8-&gt;U37, d9-&gt;U19, d10-&gt;U27, d11-&gt;U1, d12-&gt;U9, d13-&gt;U45, d14-&gt;U41, d15-&gt;U17, d16-&gt;U35, d17-&gt;U3, d18-&gt;U21, d19-&gt;U7, d20-&gt;U23, d21-&gt;U33, d22-&gt;U29;
  every g&lt;h&gt; and r&lt;j&gt; keeps its initial creditor.
Find a sequence of exactly 95 semi-positive debt swaps
that transforms the initial network into that target.  A contract may occur in
at most one submitted swap.  Sequence order matters.  Each swap is represented
as a JSON array of its two contract-name strings.  Inside each swap, put the
lexicographically smaller contract name first; repeats are forbidden.
Give your final answer inside &lt;answer&gt;&lt;/answer&gt; tags, as one JSON array of
exactly 95 two-string arrays.
Format example only: &lt;answer&gt;[["c0","i0"],["d0","p0"]]&lt;/answer&gt;
Output nothing else inside the tags.</t>
        </is>
      </c>
      <c r="L31" s="6" t="inlineStr">
        <is>
          <t>[["c41", "i3"], ["c23", "i61"], ["c69", "i4"], ["d11", "p0"], ["c51", "i19"], ["c61", "i49"], ["c10", "i40"], ["d17", "p1"], ["c37", "i39"], ["c65", "i31"], ["c0", "i9"], ["d6", "p2"], ["c39", "i24"], ["c19", "i34"], ["c67", "i48"], ["d19", "p3"], ["c68", "i22"], ["c42", "i35"], ["c6", "i58"], ["d12", "p4"], ["c30", "i37"], ["c22", "i10"], ["c58", "i15"], ["d1", "p5"], ["c5", "i70"], ["c38", "i8"], ["c50", "i13"], ["d7", "p6"], ["c1", "i56"], ["c48", "i16"], ["c33", "i30"], ["d2", "p7"], ["c32", "i6"], ["c57", "i43"], ["c7", "i18"], ["d15", "p8"], ["c11", "i60"], ["c12", "i71"], ["c18", "i36"], ["d9", "p9"], ["c28", "i33"], ["c27", "i50"], ["c56", "i41"], ["d18", "p10"], ["c15", "i27"], ["c8", "i38"], ["c16", "i68"], ["d20", "p11"], ["c66", "i59"], ["c62", "i46"], ["c46", "i1"], ["d4", "p12"], ["c64", "i17"], ["c54", "i52"], ["c70", "i62"], ["d10", "p13"], ["c36", "i63"], ["c13", "i51"], ["c4", "i57"], ["d22", "p14"], ["c60", "i28"], ["c25", "i2"], ["c53", "i42"], ["d3", "p15"], ["c2", "i47"], ["c55", "i5"], ["c3", "i45"], ["d21", "p16"], ["c52", "i53"], ["c49", "i23"], ["c63", "i14"], ["d16", "p17"], ["c43", "i21"], ["c14", "i25"], ["c35", "i0"], ["d8", "p18"], ["c44", "i20"], ["c40", "i54"], ["c59", "i69"], ["d0", "p19"], ["c17", "i7"], ["c24", "i64"], ["c29", "i44"], ["d14", "p20"], ["c71", "i67"], ["c31", "i32"], ["c21", "i66"], ["d5", "p21"], ["c9", "i11"], ["c34", "i55"], ["c26", "i26"], ["d13", "p22"], ["c45", "i29"], ["c47", "i12"], ["c20", "i65"]]</t>
        </is>
      </c>
    </row>
    <row r="32">
      <c r="A32" s="2" t="inlineStr">
        <is>
          <t>2307.10607</t>
        </is>
      </c>
      <c r="B32" s="2" t="inlineStr">
        <is>
          <t>Parameterized Complexity of Biclique Contraction and Balanced Biclique Contraction</t>
        </is>
      </c>
      <c r="C32" s="2" t="inlineStr">
        <is>
          <t>reconfiguration</t>
        </is>
      </c>
      <c r="D32" s="3" t="inlineStr">
        <is>
          <t>https://arxiv.org/abs/2307.10607</t>
        </is>
      </c>
      <c r="E32" s="2" t="inlineStr">
        <is>
          <t>easy</t>
        </is>
      </c>
      <c r="F32" s="2" t="inlineStr">
        <is>
          <t>{"n": 18, "set_factor": 6}</t>
        </is>
      </c>
      <c r="G32" s="4" t="inlineStr">
        <is>
          <t>yes</t>
        </is>
      </c>
      <c r="H32" s="5" t="n">
        <v>3159</v>
      </c>
      <c r="I32" s="2" t="inlineStr"/>
      <c r="J32" s="5" t="n">
        <v>21</v>
      </c>
      <c r="K32" s="6" t="inlineStr">
        <is>
          <t>Find an edge-contraction witness that turns the graph below into a star.
A star is a complete bipartite graph K_{1,t}: one centre adjacent to every
other vertex, with no edges among the other vertices.
The graph is specified compactly but completely.
There are 54 element vertices B0,...,B53; matching pendant vertices
P0,...,P53; 108 set vertices S0,...,S107; one vertex x; and
73 guard leaves C0,...,C72.
Its undirected edges are exactly these (there are no other edges):
  * x--Sj for every set ID j from 0 through 107;
  * x--Ch for every guard index h from 0 through 72;
  * Bi--Pi for every element index i from 0 through 53;
  * Sj--Bi exactly when element i occurs in the triple listed for Sj.
The contraction budget is k=72. Contracting an edge merges its endpoints;
the merged vertex is adjacent to the union of their former neighbours, and
self-loops and parallel copies are discarded.
Return a compact witness consisting of exactly
q=18 distinct set IDs. The checker expands it into these contractions:
  1. contract x--Sj for every returned set ID j;
  2. for every element i, contract Bi--Sj where j is the unique returned
     set whose listed triple contains i.
Thus the expanded witness has exactly q+54=72 edges. It is accepted only
if every element has exactly one such selected set and replaying the
contractions produces a star. The order of returned IDs does not matter.
Set IDs and element IDs are 0-indexed; repeated IDs are forbidden.
Candidate triples (format: set ID: three element IDs):
S0: 7 19 27
S1: 30 31 44
S2: 4 13 43
S3: 22 35 46
S4: 11 36 39
S5: 2 26 33
S6: 8 18 28
S7: 18 32 50
S8: 27 38 45
S9: 34 46 52
S10: 14 49 53
S11: 0 15 50
S12: 21 43 50
S13: 2 7 49
S14: 23 37 41
S15: 4 17 21
S16: 2 38 44
S17: 1 39 48
S18: 15 24 45
S19: 6 25 46
S20: 14 21 50
S21: 4 15 47
S22: 4 25 42
S23: 5 24 25
S24: 33 40 47
S25: 0 9 36
S26: 20 47 48
S27: 4 18 34
S28: 2 12 44
S29: 15 22 34
S30: 24 38 52
S31: 8 38 39
S32: 23 31 46
S33: 22 26 42
S34: 17 34 50
S35: 5 6 38
S36: 37 41 50
S37: 11 43 46
S38: 3 25 53
S39: 32 33 42
S40: 0 4 45
S41: 6 18 28
S42: 29 43 50
S43: 2 12 23
S44: 10 11 40
S45: 14 25 42
S46: 3 21 53
S47: 34 36 43
S48: 18 30 53
S49: 12 43 51
S50: 8 15 42
S51: 10 15 19
S52: 4 10 25
S53: 0 18 51
S54: 15 42 44
S55: 8 41 42
S56: 8 33 38
S57: 29 36 37
S58: 22 42 43
S59: 17 33 47
S60: 10 37 47
S61: 3 14 29
S62: 0 4 41
S63: 29 35 49
S64: 5 25 42
S65: 21 22 40
S66: 34 37 52
S67: 26 33 50
S68: 21 30 36
S69: 13 45 46
S70: 12 17 30
S71: 8 19 24
S72: 17 19 26
S73: 12 25 53
S74: 12 16 44
S75: 4 20 35
S76: 22 34 40
S77: 16 32 39
S78: 43 49 51
S79: 8 12 13
S80: 3 12 35
S81: 23 27 53
S82: 2 17 25
S83: 7 8 36
S84: 23 47 50
S85: 7 11 34
S86: 7 32 36
S87: 3 21 35
S88: 17 44 46
S89: 49 51 52
S90: 20 33 34
S91: 0 25 52
S92: 19 40 53
S93: 24 35 52
S94: 21 31 35
S95: 4 24 35
S96: 1 11 37
S97: 13 29 51
S98: 24 36 44
S99: 7 34 41
S100: 9 19 28
S101: 1 11 12
S102: 5 19 48
S103: 33 42 48
S104: 9 17 44
S105: 19 29 48
S106: 7 14 50
S107: 23 25 39
Give your final answer inside &lt;answer&gt;&lt;/answer&gt; tags, as exactly q
comma-separated set IDs, with no S prefix.
Example: &lt;answer&gt;3, 17, 42, 8&lt;/answer&gt;
Output nothing else inside the tags.</t>
        </is>
      </c>
      <c r="L32" s="6" t="inlineStr">
        <is>
          <t>[1, 25, 30, 41, 50, 60, 61, 65, 67, 69, 75, 77, 78, 81, 82, 99, 101, 102]</t>
        </is>
      </c>
    </row>
    <row r="33">
      <c r="A33" s="2" t="inlineStr">
        <is>
          <t>2401.06027</t>
        </is>
      </c>
      <c r="B33" s="2" t="inlineStr">
        <is>
          <t>Examining Kempe equivalence via commutative algebra</t>
        </is>
      </c>
      <c r="C33" s="2" t="inlineStr">
        <is>
          <t>reconfiguration</t>
        </is>
      </c>
      <c r="D33" s="3" t="inlineStr">
        <is>
          <t>https://arxiv.org/abs/2401.06027</t>
        </is>
      </c>
      <c r="E33" s="2" t="inlineStr">
        <is>
          <t>standard</t>
        </is>
      </c>
      <c r="F33" s="2" t="inlineStr">
        <is>
          <t>{"n": 128}</t>
        </is>
      </c>
      <c r="G33" s="4" t="inlineStr">
        <is>
          <t>yes</t>
        </is>
      </c>
      <c r="H33" s="5" t="n">
        <v>3553</v>
      </c>
      <c r="I33" s="2" t="inlineStr"/>
      <c r="J33" s="5" t="n">
        <v>216</v>
      </c>
      <c r="K33" s="6" t="inlineStr">
        <is>
          <t>Compressed bounded Kempe-switching certificate
A proper k-coloring assigns one integer color to every graph vertex,
with different colors at the ends of every edge.  A Kempe switching
chooses two distinct colors, takes the connected components of the
subgraph induced by vertices currently having either color, chooses
exactly one such component, and exchanges the two colors on every
vertex of that component.
This instance uses colors 0 through 128 inclusive.
Colors 0 through 127 are ordinary; 128 is a buffer.
The graph being recolored is a star: one center is adjacent to every
leaf, and there are no leaf-leaf edges.  The center has the buffer
color in both the source and target colorings.
The leaves are specified compactly by the undirected cubic graph below.
For each listed edge u-v and each r with 0 &lt;= r &lt; 257, there are
two distinct star leaves L(u,v,r) and L(v,u,r).  Leaf L(u,v,r) has
source color u and target color v.  Thus all leaf names, source colors,
target colors, and star edges are fully determined by this rule.
There are 98688 leaves and 98689 star vertices.
The compact graph vertices/colors are 0-indexed.  Edges are undirected.
Cubic edges (192 total):
0-20 0-48 0-124 1-7 1-69 1-87 2-66 2-74 2-87 3-28 3-80 3-94 4-38 4-54 4-126 5-33 5-58 5-85 6-55 6-67 6-86 7-85 7-124 8-24 8-90 8-117 9-28 9-56 9-92 10-37 10-72 10-81 11-30 11-69 11-75 12-45 12-48 12-125 13-31 13-86 13-125 14-55 14-64 14-90 15-68 15-81 15-121 16-49 16-62 16-89 17-120 17-125 17-127 18-73 18-74 18-96 19-93 19-106 19-108 20-95 20-99 21-30 21-47 21-119 22-52 22-76 22-100 23-35 23-70 23-97 24-46 24-104 25-63 25-71 25-91 26-71 26-79 26-101 27-29 27-109 27-116 28-67 29-64 29-107 30-118 31-35 31-127 32-50 32-118 32-123 33-49 33-105 34-47 34-51 34-72 35-94 36-58 36-80 36-85 37-46 37-79 38-61 38-111 39-59 39-72 39-74 40-50 40-97 40-106 41-66 41-84 41-111 42-56 42-91 42-100 43-93 43-102 43-112 44-45 44-105 44-114 45-54 46-97 47-82 48-109 49-76 50-63 51-61 51-116 52-59 52-70 53-105 53-115 53-122 54-75 55-84 56-78 57-68 57-113 57-122 58-68 59-95 60-73 60-96 60-101 61-62 62-103 63-123 64-77 65-77 65-90 65-98 66-80 67-121 69-114 70-111 71-110 73-95 75-108 76-102 77-110 78-84 78-100 79-87 81-98 82-83 82-104 83-89 83-91 86-120 88-108 88-117 88-119 89-115 92-101 92-102 93-110 94-99 96-123 98-107 99-112 103-104 103-126 106-121 107-117 109-119 112-122 113-115 113-124 114-120 116-126 118-127
Your witness is a compressed Kempe sequence: give exactly one cyclic
ordering h0,...,h127 of all ordinary colors.  Every integer 0 through
127 must occur exactly once; do not repeat h0 at the end.  Rotation
and reversal are both allowed.  The ordering expands deterministically:
1. Define pred(h[(i+1) mod n]) = h[i].  Visit leaves in increasing
   lexicographic order (u,v,r).  If a leaf L(u,v,r) currently has color
   u != pred(v), switch the singleton component containing that leaf
   using colors u and pred(v).
2. Starting with the center still at the buffer color, switch the
   component containing the center successively with the named colors
   h[n-1], h[n-2], ..., h[0], and finally the buffer color.
The expanded sequence must use at most 65921 Kempe switchings
and must finish at the target coloring.  Equivalently, every consecutive
pair in your cyclic ordering, including the last paired with the first,
must be one of the listed cubic edges.
Give your final answer inside &lt;answer&gt;&lt;/answer&gt; tags, as exactly the
128 comma-separated ordinary colors in cyclic order.
Example: &lt;answer&gt;3, 17, 42, 8&lt;/answer&gt;
Output nothing else inside the tags.</t>
        </is>
      </c>
      <c r="L33" s="6" t="inlineStr">
        <is>
          <t>[9, 92, 102, 76, 49, 16, 62, 103, 104, 82, 47, 21, 30, 118, 32, 50, 63, 123, 96, 18, 74, 2, 66, 80, 36, 85, 7, 1, 87, 79, 26, 101, 60, 73, 95, 59, 39, 72, 34, 51, 61, 38, 111, 41, 84, 78, 56, 42, 100, 22, 52, 70, 23, 97, 40, 106, 121, 67, 6, 55, 14, 90, 65, 98, 107, 117, 8, 24, 46, 37, 10, 81, 15, 68, 58, 5, 33, 105, 44, 45, 12, 48, 109, 119, 88, 108, 19, 93, 43, 112, 99, 20, 0, 124, 113, 57, 122, 53, 115, 89, 83, 91, 25, 71, 110, 77, 64, 29, 27, 116, 126, 4, 54, 75, 11, 69, 114, 120, 86, 13, 125, 17, 127, 31, 35, 94, 3, 28]</t>
        </is>
      </c>
    </row>
    <row r="34">
      <c r="A34" s="2" t="inlineStr">
        <is>
          <t>2407.11768</t>
        </is>
      </c>
      <c r="B34" s="2" t="inlineStr">
        <is>
          <t>Independent Set Reconfiguration Under Bounded-Hop Token</t>
        </is>
      </c>
      <c r="C34" s="2" t="inlineStr">
        <is>
          <t>reconfiguration</t>
        </is>
      </c>
      <c r="D34" s="3" t="inlineStr">
        <is>
          <t>https://arxiv.org/abs/2407.11768</t>
        </is>
      </c>
      <c r="E34" s="2" t="inlineStr">
        <is>
          <t>easy</t>
        </is>
      </c>
      <c r="F34" s="2" t="inlineStr">
        <is>
          <t>{"n": 48, "rounds": 8, "k": 3}</t>
        </is>
      </c>
      <c r="G34" s="4" t="inlineStr">
        <is>
          <t>yes</t>
        </is>
      </c>
      <c r="H34" s="5" t="n">
        <v>4083</v>
      </c>
      <c r="I34" s="2" t="inlineStr"/>
      <c r="J34" s="5" t="n">
        <v>15</v>
      </c>
      <c r="K34" s="6" t="inlineStr">
        <is>
          <t>Bounded-hop independent-set reconfiguration witness
First invert these two fully specified Boolean mixing branches.  Their shared
secret input is S[0],...,S[47].  Each branch starts from that input.  In each
round use the three integer offsets a,b,c listed below and simultaneously
compute, for every i=0,...,47 (all subscripts modulo 48):
    A[i] = S[i+a] AND S[i+b]
    X[i] = S[i] XOR S[i+c]
    S_new[i] = A[i] XOR X[i]
Read S[0]...S[47] after the final round of branch 0 and then after the final
round of branch 1, and concatenate them.  The required
96-bit output is:
000101110110010001111010101000111111001011110101110001110110111100000001001110110101101010000101
Branch/round offsets (a b c):
B0R0: 7 26 23
B0R1: 31 42 25
B0R2: 11 24 35
B0R3: 14 44 35
B0R4: 46 45 25
B0R5: 40 42 7
B0R6: 36 16 17
B0R7: 31 26 17
B1R0: 42 46 25
B1R1: 45 21 23
B1R2: 16 3 5
B1R3: 26 18 31
B1R4: 15 38 7
B1R5: 14 43 31
B1R6: 26 42 47
B1R7: 10 17 43
Here is the exact E3-SAT formula and graph implied by that circuit.  This also
defines the reconfiguration witness encoded by your preimage.  Formula variable
IDs are 1-based.  Inputs use IDs 1,...,48.  Two free padding variables are
z=49 and w=50.  Then, in increasing branch, round, and i order,
allocate three fresh IDs A[i], X[i], S_new[i], in that order.  Each branch begins
again with input IDs 1,...,48.  A signed integer q denotes
variable q when positive and NOT variable |q| when negative.  Append clauses in
the order shown by these macros, preserving literal order:
AND(a,b,y): (-a,-b,+y), (+a,-y,+z), (+a,-y,-z),
            (+b,-y,+z), (+b,-y,-z)
XOR(a,b,y): (-a,-b,-y), (-a,+b,+y), (+a,-b,+y), (+a,+b,-y)
FORCE(l):   (+l,+z,+w), (+l,+z,-w), (+l,-z,+w), (+l,-z,-w)
For each circuit assignment append AND then XOR then XOR macros in the same
order as the three equations.  Finally append FORCE(output-wire) when its target
bit is 1 and FORCE(-output-wire) when it is 0, from output index 0 upward.  This
creates exactly 2354 variables and 10368 clauses, each with
exactly three distinct literals.
Construct the paper's graph as follows.  Clauses are indexed 0,...,10367
in append order and literal positions are 0,1,2.  For clause i create a path
v(i,0),...,v(i,6).  Its gates are g(i,1)=v(i,3) and new vertices g(i,0),
g(i,2).  Join g(i,0) and g(i,2) to v(i,2) and v(i,4), and make all
31104 gates over all clauses one clique.  For formula variable j create
a path u(j,0),...,u(j,2) and vertices s(j,0),s(j,1), each joined to u(j,0).
Write t(j,0)=u(j,0), t(j,1)=u(j,2).  A positive literal +j in position p
joins g(i,p) to s(j,0) and t(j,0); a negative literal -j joins it to s(j,1) and
t(j,0).  There are no other edges.
Initially every v(i,0), s(j,0), and s(j,1) has a token.  The target consists of
every v(i,6), t(j,0), and t(j,1).  A token set is independent iff no two
occupied vertices share an edge.  One 3-Jump replaces exactly one occupied
vertex by one empty vertex at shortest-path distance at most 3, and the new set
must be independent.
Your preimage encodes exactly 25444 moves.  Evaluate every circuit
wire, set z=w=0, and choose the leftmost true literal (position 0, then 1, then
2) in each clause.  First, in increasing variable-ID order, move s(j,0) to
t(j,1) for a true variable and s(j,1) to t(j,1) for a false variable.  Next, in
increasing clause order, move v(i,0) to the chosen gate and that gate to
v(i,6).  Finally move the remaining s vertex of each variable to t(j,0),
again in increasing variable order.  The checker reconstructs and replays every
move; it never compares your preimage with a planted one.
All ranges are inclusive, strings are in increasing index order, and repeats are
not allowed where the construction says "fresh".  Any 48-bit preimage producing
the target is accepted.
Give your final answer inside &lt;answer&gt;&lt;/answer&gt; tags, as one JSON object with the
single key "preimage", whose value is exactly 48 binary characters.
Example of the required shape: &lt;answer&gt;{"preimage":"000000000000000000000000000000000000000000000000"}&lt;/answer&gt;
Output nothing else inside the tags.</t>
        </is>
      </c>
      <c r="L34" s="6" t="inlineStr">
        <is>
          <t>{"preimage": "001000001000000010110011100100101110101011000010"}</t>
        </is>
      </c>
    </row>
    <row r="35">
      <c r="A35" s="2" t="inlineStr">
        <is>
          <t>2411.14821</t>
        </is>
      </c>
      <c r="B35" s="2" t="inlineStr">
        <is>
          <t>Ex-post Stability under Two-Sided Matching: Complexity and Characterization</t>
        </is>
      </c>
      <c r="C35" s="2" t="inlineStr">
        <is>
          <t>schedules and allocations</t>
        </is>
      </c>
      <c r="D35" s="3" t="inlineStr">
        <is>
          <t>https://arxiv.org/abs/2411.14821</t>
        </is>
      </c>
      <c r="E35" s="2" t="inlineStr">
        <is>
          <t>medium</t>
        </is>
      </c>
      <c r="F35" s="2" t="inlineStr">
        <is>
          <t>{"n": 32, "degree": 6}</t>
        </is>
      </c>
      <c r="G35" s="4" t="inlineStr">
        <is>
          <t>yes</t>
        </is>
      </c>
      <c r="H35" s="5" t="n">
        <v>5583</v>
      </c>
      <c r="I35" s="2" t="inlineStr"/>
      <c r="J35" s="5" t="n">
        <v>37</v>
      </c>
      <c r="K35" s="6" t="inlineStr">
        <is>
          <t>SUPPORTED WEAKLY-STABLE MATCHING — COMPACT SELECTOR WITNESS
There are 96 ground elements, numbered 0 through 95,
and 192 set gadgets, numbered 0 through 191.  Each set
gadget contains exactly three distinct ground elements; every ground element
occurs in exactly 6 gadgets.  The gadget data are:
  0: 51 52 74
  1: 21 28 34
  2: 37 41 51
  3: 45 68 83
  4: 14 49 73
  5: 22 44 95
  6: 24 76 77
  7: 40 44 55
  8: 59 62 84
  9: 51 54 78
  10: 18 70 77
  11: 25 37 78
  12: 17 52 58
  13: 3 61 78
  14: 6 23 95
  15: 21 41 94
  16: 42 50 94
  17: 0 5 35
  18: 75 85 93
  19: 4 9 19
  20: 47 63 93
  21: 0 66 89
  22: 9 78 87
  23: 16 18 54
  24: 2 70 75
  25: 7 27 74
  26: 2 8 67
  27: 27 29 85
  28: 0 20 83
  29: 22 24 58
  30: 5 24 32
  31: 19 36 67
  32: 64 71 95
  33: 25 53 87
  34: 9 44 92
  35: 65 77 92
  36: 23 33 59
  37: 11 54 89
  38: 51 83 85
  39: 1 48 56
  40: 87 90 91
  41: 36 54 89
  42: 33 64 81
  43: 34 46 68
  44: 60 76 90
  45: 34 86 91
  46: 13 17 86
  47: 23 39 40
  48: 22 25 88
  49: 32 45 72
  50: 4 12 56
  51: 28 31 35
  52: 11 41 73
  53: 33 49 58
  54: 8 37 76
  55: 18 88 94
  56: 43 87 94
  57: 15 31 57
  58: 8 42 80
  59: 62 79 93
  60: 12 35 84
  61: 3 59 74
  62: 17 32 48
  63: 28 66 79
  64: 67 80 91
  65: 13 16 90
  66: 32 57 69
  67: 7 9 74
  68: 1 15 68
  69: 16 42 88
  70: 0 29 80
  71: 30 67 87
  72: 61 64 67
  73: 23 50 57
  74: 12 26 53
  75: 32 41 91
  76: 62 71 84
  77: 68 74 84
  78: 4 13 76
  79: 5 36 61
  80: 34 48 53
  81: 13 42 49
  82: 30 55 65
  83: 57 90 92
  84: 71 84 95
  85: 16 38 66
  86: 15 38 90
  87: 36 55 92
  88: 44 47 79
  89: 30 51 66
  90: 18 47 55
  91: 5 40 58
  92: 21 38 52
  93: 0 35 55
  94: 17 50 85
  95: 30 45 65
  96: 6 62 86
  97: 46 72 83
  98: 13 15 92
  99: 19 43 73
  100: 47 56 66
  101: 16 29 79
  102: 22 60 70
  103: 4 42 79
  104: 1 14 82
  105: 37 66 80
  106: 26 77 91
  107: 10 60 63
  108: 10 30 82
  109: 11 65 89
  110: 26 72 83
  111: 28 45 58
  112: 40 83 95
  113: 11 69 75
  114: 3 49 94
  115: 14 53 73
  116: 27 63 69
  117: 25 39 88
  118: 27 69 93
  119: 19 61 63
  120: 8 20 77
  121: 7 69 85
  122: 7 9 53
  123: 21 71 74
  124: 7 43 76
  125: 3 12 95
  126: 22 61 63
  127: 8 28 43
  128: 9 26 33
  129: 40 69 82
  130: 18 48 72
  131: 41 49 89
  132: 1 52 75
  133: 0 4 50
  134: 24 38 62
  135: 7 34 56
  136: 2 33 57
  137: 20 65 77
  138: 13 81 84
  139: 11 31 55
  140: 17 35 76
  141: 2 46 78
  142: 6 14 19
  143: 39 52 86
  144: 22 44 85
  145: 17 31 71
  146: 3 15 23
  147: 1 26 81
  148: 48 61 88
  149: 24 27 49
  150: 20 29 87
  151: 30 35 71
  152: 20 72 78
  153: 18 33 58
  154: 14 60 67
  155: 5 6 21
  156: 57 59 94
  157: 31 54 59
  158: 50 63 82
  159: 19 24 37
  160: 12 75 86
  161: 1 37 89
  162: 39 52 64
  163: 10 45 65
  164: 15 88 92
  165: 6 79 81
  166: 47 60 73
  167: 2 38 39
  168: 21 40 41
  169: 25 46 80
  170: 31 48 73
  171: 6 32 62
  172: 5 26 42
  173: 50 64 82
  174: 20 56 70
  175: 39 80 93
  176: 36 38 44
  177: 16 75 81
  178: 25 46 68
  179: 2 45 70
  180: 56 60 70
  181: 3 14 81
  182: 27 72 91
  183: 10 51 68
  184: 12 36 82
  185: 8 10 23
  186: 29 34 53
  187: 11 43 47
  188: 10 59 64
  189: 28 46 90
  190: 29 43 86
  191: 4 54 93
This is a compact presentation of the following two-sided matching instance.
For each gadget j and port l in {0,1,2}, with T[j,l] the l-th displayed
element, there are agents c(j,l), d(j,l) and items x(j,l), y(j,l).  There is an
item a(e) and collector agent z(e) for every ground element e, plus agents s1,
s2 and items o1,o2.  Port arithmetic is modulo 3.
The positive entries of the supplied random matching p are exactly these
supported pairs (unlisted pairs have probability zero):
  p(c(j,l),a(T[j,l])) = 1/6
  p(c(j,l),x(j,l))    = 1/6
  p(c(j,l),y(j,l))    = 4/6
  p(d(j,l),x(j,l))    = 4/6
  p(d(j,l),y(j,l))    = 2/6
  p(z(e),x(j,l))      = 1/576  for every e,j,l
  p(s1,o1) = p(s2,o2) = 1.
These entries are nonnegative and every row and column sums to 1.  Preferences
and priorities are complete and dichotomous: every brace below is one tied top
tier, all unlisted partners form one tied bottom tier, and top is strictly
preferred to bottom.
  c(j,l) top: {a(T[j,l]), y(j,l), x(j,l-1)}
  s1 top: {o2} together with every y(j,l)
  d(j,l), z(e), and s2: indifferent among all items
  a(e) top: every c(j,l) whose T[j,l]=e
  x(j,l) top: {c(j,l), c(j,l+1)}
  y(j,l) top: {d(j,l), s1}
  o1 and o2: indifferent among all agents.
A deterministic matching is supported when every one of its pairs has positive
probability above.  It is weakly stable when there is no unmatched agent-item
pair for which BOTH sides strictly prefer each other to their assigned partners.
Your witness is the compact selector for a supported weakly stable matching.
Select exactly 32 distinct gadget indices whose triples cover every ground
element exactly once.  The checker expands them canonically: selected c ports
take their a-items; unselected c ports take their same-port x-items; every d
takes its y-item; z(e) takes the selected port's remaining x-item containing e;
and s1-o1, s2-o2 are paired.  The checker then recomputes bijectivity, support,
and weak stability.  Order of the 32 output indices does not matter; indices
are 0-based and repeats are forbidden.
Give your final answer inside &lt;answer&gt;&lt;/answer&gt; tags, as exactly 32
comma-separated base-10 gadget indices with no brackets.
Example (format only): &lt;answer&gt;0, 1, 2, 3, 4, 5, 6, 7, 8, 9, 10, 11, 12, 13, 14, 15, 16, 17, 18, 19, 20, 21, 22, 23, 24, 25, 26, 27, 28, 29, 30, 31&lt;/answer&gt;
Output nothing else inside the tags.</t>
        </is>
      </c>
      <c r="L35" s="6" t="inlineStr">
        <is>
          <t>[0, 8, 10, 16, 27, 28, 29, 32, 33, 46, 47, 49, 51, 54, 64, 68, 82, 83, 85, 88, 99, 107, 113, 128, 131, 135, 141, 148, 155, 181, 184, 191]</t>
        </is>
      </c>
    </row>
    <row r="36">
      <c r="A36" s="2" t="inlineStr">
        <is>
          <t>2506.24001</t>
        </is>
      </c>
      <c r="B36" s="2" t="inlineStr">
        <is>
          <t>Fantastic Flips and Where to Find Them: A General Framework for Parameterized Local Search on Partitioning Problems</t>
        </is>
      </c>
      <c r="C36" s="2" t="inlineStr">
        <is>
          <t>schedules and allocations</t>
        </is>
      </c>
      <c r="D36" s="3" t="inlineStr">
        <is>
          <t>https://arxiv.org/abs/2506.24001</t>
        </is>
      </c>
      <c r="E36" s="2" t="inlineStr">
        <is>
          <t>medium</t>
        </is>
      </c>
      <c r="F36" s="2" t="inlineStr">
        <is>
          <t>{"n": 64, "subset_fraction": 0.3, "value_bits": 40}</t>
        </is>
      </c>
      <c r="G36" s="4" t="inlineStr">
        <is>
          <t>yes</t>
        </is>
      </c>
      <c r="H36" s="5" t="n">
        <v>4144</v>
      </c>
      <c r="I36" s="2" t="inlineStr"/>
      <c r="J36" s="5" t="n">
        <v>16</v>
      </c>
      <c r="K36" s="6" t="inlineStr">
        <is>
          <t>LOCAL-SEARCH MULTI KNAPSACK (one knapsack)
There is one knapsack and a set of indivisible items.  Every item has a
nonnegative integer weight and value.  An assignment is feasible when the sum
of weights of the items inside the knapsack is at most its capacity.  Its score
is the sum of values inside.  A flip changes one item's status from inside to
outside or from outside to inside.  The flip distance is the number of items
whose final status differs from the supplied initial assignment.
Find a feasible assignment with score STRICTLY larger than the initial score
and flip distance at most 20.
This instance has 64 ordinary items and one special item.  All
ordinary items start inside; special item 65 starts outside.
Every value equals its weight.  Your witness must name exactly 19 distinct
ordinary items to remove; special item 65 is then inserted
automatically.  Order does not matter and repeated IDs are forbidden.  Item
IDs are the integers shown below and are 1-indexed.
Knapsack capacity: 1439440474520183
Initial total weight: 1439440474520182
Initial score: 1439440474520182
Required flip distance: exactly 20 (19 removals plus the special insertion)
For clarity, with these data the replay is feasible and strictly improving if
and only if the removed ordinary weights sum exactly to
427153168981112.  This equality is a derived aid; the checker still
replays the flips, checks capacity, and recomputes the score.
ITEMS (one row per item: ID WEIGHT VALUE INITIAL_STATUS)
1 22048652781124 22048652781124 in
2 22426434781606 22426434781606 in
3 22473070716580 22473070716580 in
4 22006851073867 22006851073867 in
5 22739371980049 22739371980049 in
6 22330728420233 22330728420233 in
7 22732246112750 22732246112750 in
8 22192535008237 22192535008237 in
9 22202317728381 22202317728381 in
10 22823122472097 22823122472097 in
11 22089315540434 22089315540434 in
12 22491288866201 22491288866201 in
13 22629208018570 22629208018570 in
14 22166262741580 22166262741580 in
15 22505007225382 22505007225382 in
16 22212997406642 22212997406642 in
17 22601750541271 22601750541271 in
18 22792678949598 22792678949598 in
19 22802679968489 22802679968489 in
20 22451319932243 22451319932243 in
21 22577226488228 22577226488228 in
22 22366621921251 22366621921251 in
23 22347766296011 22347766296011 in
24 22825441603442 22825441603442 in
25 22492983980813 22492983980813 in
26 22062481647531 22062481647531 in
27 22685179935566 22685179935566 in
28 22580366064731 22580366064731 in
29 22454373301377 22454373301377 in
30 22684805708495 22684805708495 in
31 22859960131249 22859960131249 in
32 22998015930546 22998015930546 in
33 22570666769283 22570666769283 in
34 22531998142493 22531998142493 in
35 22568073063016 22568073063016 in
36 22868912138736 22868912138736 in
37 22472823655575 22472823655575 in
38 22189920685535 22189920685535 in
39 22096557830282 22096557830282 in
40 22234449132950 22234449132950 in
41 22920868136020 22920868136020 in
42 22130233066292 22130233066292 in
43 22829403741253 22829403741253 in
44 22015755101743 22015755101743 in
45 22577573103376 22577573103376 in
46 22236506733935 22236506733935 in
47 22944975868680 22944975868680 in
48 22987344250570 22987344250570 in
49 22568849178123 22568849178123 in
50 22384347182190 22384347182190 in
51 22645753228398 22645753228398 in
52 22326094321289 22326094321289 in
53 21994177455069 21994177455069 in
54 22701474606772 22701474606772 in
55 22030985806725 22030985806725 in
56 22668007492397 22668007492397 in
57 22115815046967 22115815046967 in
58 22175254408199 22175254408199 in
59 23058527964111 23058527964111 in
60 22144061204064 22144061204064 in
61 22269945567056 22269945567056 in
62 23036743216652 23036743216652 in
63 22570762355371 22570762355371 in
64 22920550792486 22920550792486 in
65 427153168981113 427153168981113 out
Give your final answer inside &lt;answer&gt;&lt;/answer&gt; tags, as a comma-separated list
of exactly 19 distinct ordinary item IDs.  Do not include special item
65; it is inserted automatically.
Example: &lt;answer&gt;1, 2, 3, 4, 5, 6, 7, 8, 9, 10, 11, 12, 13, 14, 15, 16, 17, 18, 19&lt;/answer&gt;
Output nothing else inside the tags.</t>
        </is>
      </c>
      <c r="L36" s="6" t="inlineStr">
        <is>
          <t>[2, 3, 6, 7, 9, 14, 15, 16, 18, 28, 35, 38, 44, 48, 52, 57, 62, 63, 64]</t>
        </is>
      </c>
    </row>
    <row r="37">
      <c r="A37" s="2" t="inlineStr">
        <is>
          <t>2509.10361</t>
        </is>
      </c>
      <c r="B37" s="2" t="inlineStr">
        <is>
          <t>Parameterized Complexity of Vehicle Routing</t>
        </is>
      </c>
      <c r="C37" s="2" t="inlineStr">
        <is>
          <t>schedules and allocations</t>
        </is>
      </c>
      <c r="D37" s="3" t="inlineStr">
        <is>
          <t>https://arxiv.org/abs/2509.10361</t>
        </is>
      </c>
      <c r="E37" s="2" t="inlineStr">
        <is>
          <t>medium</t>
        </is>
      </c>
      <c r="F37" s="2" t="inlineStr">
        <is>
          <t>{"n": 48, "b_factor": 12}</t>
        </is>
      </c>
      <c r="G37" s="4" t="inlineStr">
        <is>
          <t>yes</t>
        </is>
      </c>
      <c r="H37" s="5" t="n">
        <v>3813</v>
      </c>
      <c r="I37" s="2" t="inlineStr"/>
      <c r="J37" s="5" t="n">
        <v>123</v>
      </c>
      <c r="K37" s="6" t="inlineStr">
        <is>
          <t>LOAD-AND-GAS-CAPACITATED VEHICLE ROUTING ON A STAR
The input is an undirected weighted star.  Its centre is the sole depot,
vertex 0.  Every other listed vertex is a client and has exactly
one edge, joining it to the depot, with the listed integer EDGE_WEIGHT.  Every
client has demand 1.
A vehicle route is a closed walk that starts and ends at the depot.  A client
is served by the route to which it is assigned.  The load of a route is the
sum of demands assigned to it, and the route weight is the sum of traversed
edge weights, counting every traversal.  At most 48
routes may be used.  Each route has load at most 3 and
weight at most 73770.  The sum of all route weights must be at
most 3540960.
Find a routing that serves every one of the 144 clients.  For this
star and these tight bounds, a witness can and must be written as exactly
48 disjoint groups of three clients.  Each group must contain exactly
one client of displayed type X, one of type Y, and one of type Z.  A group
[a,b,c] denotes the closed route
0-a-0-b-0-c-0; the order
inside a group and the order of groups do not matter.  Every client ID must
occur exactly once.  IDs are arbitrary integers: use them exactly as listed;
there is no positional or 0/1-index convention to infer.
The VALUE column is a derived aid.  Edge weights are encoded as 64*VALUE+tag,
where the tags for X,Y,Z are 1,4,16.  Consequently a valid group has one of
each type and its three VALUEs sum exactly to 576.  The
checker nevertheless replays the star routes and recomputes all load and
weight bounds.
CLIENT DATA
Each entry is ID:VALUE:EDGE_WEIGHT.  Entries after the initial type letter may
be reordered without changing the instance.
X 2:355:22721 5:251:16065 17:147:9409 19:228:14593 26:157:10049 31:125:8001 33:180:11521 37:90:5761 39:342:21889 40:271:17345 42:85:5441 43:167:10689 52:197:12609 57:205:13121 61:298:19073 62:132:8449 64:78:4993 65:123:7873 66:138:8833 67:368:23553 68:136:8705 72:178:11393 73:194:12417 75:280:17921 79:264:16897 82:88:5633 87:237:15169 93:106:6785 97:126:8065 103:259:16577 107:114:7297 108:72:4609 111:192:12289 114:182:11649 116:318:20353 120:171:10945 121:236:15105 122:174:11137 123:220:14081 124:285:18241 127:176:11265 128:207:13249 129:80:5121 131:198:12673 133:99:6337 134:108:6913 137:391:25025 141:405:25921
Y 3:227:14532 4:73:4676 6:102:6532 10:166:10628 11:155:9924 15:354:22660 16:417:26692 18:149:9540 22:211:13508 25:130:8324 30:109:6980 32:95:6084 35:229:14660 38:133:8516 41:105:6724 47:110:7044 48:316:20228 50:339:21700 53:163:10436 59:75:4804 69:117:7492 74:104:6660 77:165:10564 80:267:17092 81:89:5700 83:310:19844 85:219:14020 86:232:14852 88:181:11588 89:301:19268 91:253:16196 94:248:15876 95:97:6212 96:366:23428 99:278:17796 100:116:7428 101:238:15236 102:243:15556 105:309:19780 106:410:26244 113:193:12356 117:291:18628 126:101:6468 132:83:5316 135:296:18948 136:258:16516 138:305:19524 142:333:21316
Z 1:107:6864 7:201:12880 8:93:5968 9:346:22160 12:161:10320 13:142:9104 14:98:6288 20:320:20496 21:292:18704 23:91:5840 24:151:9680 27:152:9744 28:215:13776 29:87:5584 34:269:17232 36:128:8208 44:169:10832 45:307:19664 46:254:16272 49:168:10768 51:124:7952 54:74:4752 55:120:7696 56:111:7120 58:140:8976 60:245:15696 63:96:6160 70:162:10384 71:81:5200 76:112:7184 78:189:12112 84:139:8912 90:118:7568 92:82:5264 98:214:13712 104:141:9040 109:242:15504 110:213:13648 112:76:4880 115:156:10000 118:250:16016 119:79:5072 125:183:11728 130:314:20112 139:416:26640 140:113:7248 143:94:6032 144:119:7632
Give your final answer inside &lt;answer&gt;&lt;/answer&gt; tags, as one JSON array of
exactly 48 three-integer arrays.  Each inner array is one route group;
do not include the depot and do not repeat a client ID.
Format example only: &lt;answer&gt;[[2, 3, 1]]&lt;/answer&gt;
Output nothing else inside the tags.</t>
        </is>
      </c>
      <c r="L37" s="6" t="inlineStr">
        <is>
          <t>[[2, 25, 23], [5, 3, 14], [17, 99, 24], [19, 80, 71], [26, 41, 130], [31, 50, 76], [33, 74, 21], [37, 96, 55], [39, 4, 12], [40, 10, 84], [42, 59, 139], [43, 135, 140], [52, 77, 98], [57, 69, 46], [61, 47, 49], [62, 142, 56], [64, 105, 78], [65, 38, 20], [66, 83, 36], [67, 126, 1], [68, 48, 51], [72, 138, 8], [73, 88, 7], [75, 132, 110], [79, 113, 144], [82, 85, 34], [87, 81, 118], [93, 89, 44], [97, 15, 63], [103, 11, 70], [107, 100, 9], [108, 106, 143], [111, 102, 104], [114, 22, 125], [116, 6, 115], [120, 53, 109], [121, 136, 92], [122, 32, 45], [123, 101, 90], [124, 18, 13], [127, 94, 27], [128, 35, 58], [129, 16, 119], [131, 117, 29], [133, 86, 60], [134, 91, 28], [137, 30, 112], [141, 95, 54]]</t>
        </is>
      </c>
    </row>
    <row r="38">
      <c r="A38" s="2" t="inlineStr">
        <is>
          <t>2509.14357</t>
        </is>
      </c>
      <c r="B38" s="2" t="inlineStr">
        <is>
          <t>Freeze-Tag is NP-hard in 2D with $L_1$ distance</t>
        </is>
      </c>
      <c r="C38" s="2" t="inlineStr">
        <is>
          <t>schedules and allocations</t>
        </is>
      </c>
      <c r="D38" s="3" t="inlineStr">
        <is>
          <t>https://arxiv.org/abs/2509.14357</t>
        </is>
      </c>
      <c r="E38" s="2" t="inlineStr">
        <is>
          <t>standard</t>
        </is>
      </c>
      <c r="F38" s="2" t="inlineStr">
        <is>
          <t>{"n": 125, "band": 2}</t>
        </is>
      </c>
      <c r="G38" s="4" t="inlineStr">
        <is>
          <t>yes</t>
        </is>
      </c>
      <c r="H38" s="5" t="n">
        <v>12703</v>
      </c>
      <c r="I38" s="2" t="inlineStr"/>
      <c r="J38" s="5" t="n">
        <v>419</v>
      </c>
      <c r="K38" s="6" t="inlineStr">
        <is>
          <t>Planar L1 Freeze-Tag: find a deadline-feasible normal-form schedule
There are 502 labeled robots at integer points in the plane.  Distance
between (x1,y1) and (x2,y2) is the Manhattan distance
|x1-x2|+|y1-y2|.  Robot O is active at time 0; every other robot is frozen.
An active robot moves at speed at most 1.  When it reaches a frozen robot, that
robot activates immediately, and the arriving robot and the newly active robot
may move independently.  Waiting is allowed.  All robots must be active by the
inclusive deadline L=7141286250.
For this instance, construct the following normal-form schedule.  Robot O moves
along the straight segment from O to Z, activating every A robot on that segment
in increasing distance from O.  On reaching A_i, one available robot goes by a shortest
L1 path directly to one B_j.  The two robots then available at B_j go by shortest
L1 paths, one directly to C_k.1 and one directly to C_k.2.  Choose exactly one
B_j and one paired C_k for each A_i, using every B index j=0,...,124 exactly
once and every C-pair index k=0,...,124 exactly once.  Routes may cross and
robots may wait; there are no collision, congestion, or capacity constraints.
Robot data are shuffled.  Each line is: label x y.  Labels and indices are
literal and 0-based; C_k.1 and C_k.2 are two distinct robots in pair k.
C100.2 5744880000 1393563050
B8 -101250 -1317618
B31 -360000 -1058846
B76 -866250 -552890
C80.2 4607280000 2531163066
C94.2 5403600000 1734842970
A95 2773 0
C44.2 2559600000 4578843326
A60 2830 0
C84.1 4806360000 2332082960
C0.1 28440000 7110002772
A1 2424 0
C43.2 2502720000 4635722646
C68.2 3924720000 3213723094
A29 2592 0
B47 -540000 -878781
C96.1 5488920000 1649523128
B115 -1305000 -113814
C57.2 3299040000 3839402770
B79 -900000 -519177
A15 2866 0
C53.1 3043080000 4095363048
A119 2854 0
C106.1 6057720000 1080723404
C1.1 85320000 7053122632
C120.2 6882480000 255963310
C98.1 5602680000 1535762602
B105 -1192500 -226360
A42 2554 0
B99 -1125000 -293966
C104.2 5972400000 1166043272
C5.1 312840000 6825602504
A5 2622 0
B6 -78750 -1340320
B68 -776250 -642849
C94.1 5375160000 1763282970
A43 2617 0
B44 -506250 -912674
B96 -1091250 -327864
A49 2584 0
B37 -427500 -991499
A62 2501 0
B84 -956250 -462988
A77 2454 0
C61.2 3526560000 3611883132
C99.2 5688000000 1450442860
C101.1 5773320000 1365123164
C32.1 1848600000 5289843308
B81 -922500 -496476
C122.2 6996240000 142203090
C99.1 5659560000 1478882860
C9.2 568800000 6569642972
B55 -630000 -788849
A39 2660 0
C22.1 1279800000 5858642792
A46 2835 0
C41.1 2360520000 4777922582
C19.1 1109160000 6029283194
C115.2 6598080000 540362906
C17.2 1023840000 6114602748
C106.2 6086160000 1052283404
C71.1 4066920000 3071523402
C62.2 3583440000 3555002526
A38 2543 0
A63 2760 0
C117.1 6683400000 455042954
C105.2 6029280000 1109163006
C61.1 3498120000 3640323132
A88 2507 0
C33.1 1905480000 5232962980
A109 2738 0
C72.1 4123800000 3014643174
C124.2 7110000000 28442896
A118 2547 0
C75.2 4322880000 2815562606
B90 -1023750 -395322
Z 7141286250 0
C2.2 170640000 6967802724
A64 2538 0
B114 -1293750 -125420
A73 2613 0
A108 2414 0
A7 2656 0
A59 2666 0
C16.1 938520000 6199923110
A112 2540 0
B14 -168750 -1250492
C89.2 5119200000 2019242884
A96 2675 0
C95.2 5460480000 1677963170
B112 -1271250 -147540
B62 -708750 -710029
C119.1 6797160000 341283244
A37 2387 0
B35 -405000 -1013794
C81.1 4635720000 2502722986
A4 2548 0
A19 2589 0
A102 2800 0
C20.1 1166040000 5972403232
A45 2598 0
C12.1 711000000 6427442666
C77.1 4408200000 2730242716
A44 2430 0
A117 2797 0
C90.2 5176080000 1962362538
C101.2 5801760000 1336683164
C10.1 597240000 6541203234
A36 2665 0
C29.1 1677960000 5460482822
C38.2 2218320000 4920122812
C15.2 910080000 6228362888
A23 2850 0
B58 -663750 -755154
B52 -596250 -822980
C100.1 5716440000 1422003050
A54 2520 0
A18 2679 0
C64.1 3668760000 3469683256
C48.1 2758680000 4379762878
B45 -517500 -901500
C40.1 2303640000 4834802914
C28.2 1649520000 5488923258
C114.2 6541200000 597242536
C116.2 6654960000 483483162
A78 2750 0
B1 -22500 -1396676
C56.2 3242160000 3896283472
C70.1 4010040000 3128402668
A85 2425 0
B21 -247500 -1171280
B41 -472500 -946578
A84 2588 0
C20.2 1194480000 5943963232
B38 -438750 -980045
C79.1 4521960000 2616483468
B117 -1327500 -91513
C82.1 4692600000 2445842556
B119 -1350000 -69174
B98 -1113750 -305344
C105.1 6000840000 1137603006
C84.2 4834800000 2303642960
C73.2 4209120000 2929322630
A89 2875 0
C113.2 6484320000 654123092
B27 -315000 -1104211
O 0 0
A81 2858 0
C52.2 3014640000 4123802816
A114 2727 0
C46.2 2673360000 4465083268
C35.2 2047680000 5090762686
B50 -573750 -845446
A101 2872 0
A21 2868 0
A17 2581 0
B88 -1001250 -417851
A94 2782 0
A104 2587 0
C28.1 1621080000 5517363258
C14.1 824760000 6313682626
A34 2457 0
A123 2481 0
C34.2 1990800000 5147643124
B43 -495000 -924111
C36.2 2104560000 5033882624
C102.1 5830200000 1308243376
C49.1 2815560000 4322883382
A31 2479 0
C38.1 2189880000 4948562812
C82.2 4721040000 2417402556
C18.2 1080720000 6057723018
C76.2 4379760000 2758682726
C86.1 4920120000 2218323398
C58.1 3327480000 3810962794
A22 2718 0
B46 -528750 -890088
B4 -56250 -1362770
B111 -1260000 -159090
B113 -1282500 -136529
C29.2 1706400000 5432042822
A72 2390 0
C27.2 1592640000 5545802784
A80 2831 0
C78.2 4493520000 2644922540
C7.2 455040000 6683402780
C93.1 5318280000 1820162840
C119.2 6825600000 312843244
B9 -112500 -1306379
C123.1 7024680000 113762756
B18 -213750 -1205102
C98.2 5631120000 1507322602
C59.1 3384360000 3754082522
C92.2 5289840000 1848602640
C111.2 6370560000 767883368
B30 -348750 -1070284
C4.1 255960000 6882483184
C54.2 3128400000 4010043338
C12.2 739440000 6399002666
C124.1 7081560000 56882896
C89.1 5090760000 2047682884
B86 -978750 -440032
C110.2 6313680000 824763038
B23 -270000 -1149133
B95 -1080000 -338965
C69.1 3953160000 3185283216
C23.2 1365120000 5773322652
C73.1 4180680000 2957762630
C74.1 4237560000 2900882920
A28 2379 0
C5.2 341280000 6797162504
C104.1 5943960000 1194483272
C63.1 3611880000 3526562922
C51.2 2957760000 4180683424
A65 2571 0
A113 2704 0
A6 2762 0
A74 2443 0
A61 2537 0
B65 -742500 -676327
B40 -461250 -957605
C59.2 3412800000 3725642522
B61 -697500 -721586
A24 2693 0
A106 2655 0
C54.1 3099960000 4038483338
C118.2 6768720000 369722760
C8.1 483480000 6654963154
C95.1 5432040000 1706403170
B67 -765000 -653996
A8 2651 0
C102.2 5858640000 1279803376
B108 -1226250 -192942
B11 -135000 -1283758
C45.2 2616480000 4521962700
B83 -945000 -473933
B12 -146250 -1272767
C19.2 1137600000 6000843194
C72.2 4152240000 2986203174
A27 2599 0
B19 -225000 -1194141
A26 2639 0
B3 -45000 -1374037
C108.1 6171480000 966963192
A124 2775 0
C8.2 511920000 6626523154
B70 -798750 -620205
B63 -720000 -699126
B17 -202500 -1216515
A115 2399 0
C40.2 2332080000 4806362914
C41.2 2388960000 4749482582
A71 2612 0
B10 -123750 -1295273
A55 2490 0
B13 -157500 -1261693
A14 2619 0
C113.1 6455880000 682563092
A110 2565 0
A13 2486 0
A40 2845 0
C97.2 5574240000 1564203474
C117.2 6711840000 426602954
B100 -1136250 -282786
C68.1 3896280000 3242163094
B124 -1406250 -12500
C109.1 6228360000 910083374
C0.2 56880000 7081562772
C3.1 199080000 6939362996
C121.2 6939360000 199082644
A97 2667 0
A67 2857 0
B121 -1372500 -46561
A2 2699 0
B56 -641250 -777633
A25 2757 0
C45.1 2588040000 4550402700
B34 -393750 -1025499
C49.2 2844000000 4294443382
C107.2 6143040000 995403076
B20 -236250 -1182971
C32.2 1877040000 5261403308
C88.2 5062320000 2076122802
C43.1 2474280000 4664162646
C11.2 682560000 6455883014
B122 -1383750 -35481
C107.1 6114600000 1023843076
C103.2 5915520000 1222922900
B69 -787500 -631653
A68 2764 0
C97.1 5545800000 1592643474
C87.2 5005440000 2133002864
C79.2 4550400000 2588043468
C66.1 3782520000 3355923214
C123.2 7053120000 85322756
A91 2635 0
C67.1 3839400000 3299042670
B29 -337500 -1081703
A120 2767 0
A58 2579 0
C31.2 1820160000 5318282574
A66 2731 0
C67.2 3867840000 3270602670
C25.1 1450440000 5688003342
B25 -292500 -1126609
A86 2524 0
C34.1 1962360000 5176083124
B53 -607500 -811565
C62.1 3555000000 3583442526
C33.2 1933920000 5204522980
C24.1 1393560000 5744883166
C74.2 4266000000 2872442920
C30.1 1734840000 5403603332
B71 -810000 -608989
C26.2 1535760000 5602683456
B33 -382500 -1036288
C9.1 540360000 6598082972
B123 -1395000 -24043
B7 -90000 -1328785
C56.1 3213720000 3924723472
B107 -1215000 -203937
A98 2873 0
B39 -450000 -969190
B60 -686250 -732627
C108.2 6199920000 938523192
C93.2 5346720000 1791722840
A50 2473 0
C21.2 1251360000 5887082740
A30 2755 0
B15 -180000 -1238776
C63.2 3640320000 3498122922
A107 2455 0
A0 2583 0
B72 -821250 -597720
B92 -1046250 -372789
C120.1 6854040000 284403310
B103 -1170000 -248983
A99 2696 0
C31.1 1791720000 5346722574
A12 2776 0
B75 -855000 -564197
B94 -1068750 -350148
C90.1 5147640000 1990802538
C37.2 2161440000 4977002868
A93 2683 0
A92 2629 0
C35.1 2019240000 5119202686
B80 -911250 -507621
A116 2467 0
C116.1 6626520000 511923162
B91 -1035000 -383775
C17.1 995400000 6143042748
C111.1 6342120000 796323368
A79 2518 0
C15.1 881640000 6256802888
A87 2798 0
C6.1 369720000 6768722850
A122 2627 0
A82 2647 0
C85.2 4891680000 2246763470
C91.2 5232960000 1905483370
C85.1 4863240000 2275203470
C64.2 3697200000 3441243256
A9 2570 0
C122.1 6967800000 170643090
C55.2 3185280000 3953163334
C87.1 4977000000 2161442864
B26 -303750 -1115054
A32 2838 0
B36 -416250 -1002734
B104 -1181250 -237725
C52.1 2986200000 4152242816
C58.2 3355920000 3782522794
C114.1 6512760000 625682536
A47 2641 0
B116 -1316250 -102589
C65.2 3754080000 3384362804
C69.2 3981600000 3156843216
C7.1 426600000 6711842780
A103 2519 0
B106 -1203750 -215138
B48 -551250 -867950
B32 -371250 -1047799
B51 -585000 -834124
A70 2657 0
C60.2 3469680000 3668763160
A57 2669 0
C92.1 5261400000 1877042640
B85 -967500 -451591
B24 -281250 -1137510
A51 2396 0
B120 -1361250 -57755
A10 2631 0
B49 -562500 -856680
A75 2678 0
C2.1 142200000 6996242724
C50.2 2900880000 4237562834
C24.2 1422000000 5716443166
C47.2 2730240000 4408203318
C71.2 4095360000 3043083402
B110 -1248750 -170306
B73 -832500 -586409
B64 -731250 -687702
B101 -1147500 -271391
C80.1 4578840000 2559603066
C21.1 1222920000 5915522740
C50.1 2872440000 4266002834
C22.2 1308240000 5830202792
C16.2 966960000 6171483110
C6.2 398160000 6740282850
C65.1 3725640000 3412802804
C4.2 284400000 6854043184
A111 2698 0
B5 -67500 -1351740
A48 2637 0
A3 2709 0
A52 2685 0
B93 -1057500 -361400
C109.2 6256800000 881643374
B42 -483750 -935197
C66.2 3810960000 3327483214
B77 -877500 -541491
C88.1 5033880000 2104562802
C47.1 2701800000 4436643318
C39.1 2246760000 4891683372
C121.1 6910920000 227522644
A20 2514 0
C30.2 1763280000 5375163332
C39.2 2275200000 4863243372
A83 2530 0
B54 -618750 -800060
C44.1 2531160000 4607283326
C42.1 2417400000 4721043138
B0 -11250 -1407732
C118.1 6740280000 398162760
A53 2461 0
A41 2541 0
C37.1 2133000000 5005442868
C26.1 1507320000 5631123456
C11.1 654120000 6484323014
C81.2 4664160000 2474282986
C53.2 3071520000 4066923048
B57 -652500 -766695
C103.1 5887080000 1251362900
A16 2470 0
C13.1 767880000 6370562616
B87 -990000 -429207
C112.1 6399000000 739443430
C96.2 5517360000 1621083128
C3.2 227520000 6910922996
C10.2 625680000 6512763234
B78 -888750 -530114
C23.1 1336680000 5801762652
B118 -1338750 -80369
C27.1 1564200000 5574242784
B102 -1158750 -260394
A35 2770 0
B66 -753750 -665477
C76.1 4351320000 2787122726
B89 -1012500 -406403
C57.1 3270600000 3867842770
A76 2620 0
C42.2 2445840000 4692603138
B2 -33750 -1385122
A121 2720 0
B28 -326250 -1092809
C36.1 2076120000 5062322624
A69 2839 0
C1.2 113760000 7024682632
C46.1 2644920000 4493523268
B82 -933750 -485059
C110.1 6285240000 853203038
C77.2 4436640000 2701802716
C91.1 5204520000 1933923370
C83.2 4777920000 2360522814
A33 2561 0
C51.1 2929320000 4209123424
C86.2 4948560000 2189883398
B22 -258750 -1160169
C78.1 4465080000 2673362540
B97 -1102500 -316359
A105 2653 0
C55.1 3156840000 3981603334
C115.1 6569640000 568802906
B109 -1237500 -181441
C60.1 3441240000 3697203160
A11 2633 0
C14.2 853200000 6285242626
C70.2 4038480000 3099962668
C48.2 2787120000 4351322878
A90 2453 0
C13.2 796320000 6342122616
C25.2 1478880000 5659563342
A100 2421 0
C18.1 1052280000 6086163018
C112.2 6427440000 711003430
A56 2768 0
B59 -675000 -743910
B74 -843750 -575171
C75.1 4294440000 2844002606
C83.1 4749480000 2388962814
B16 -191250 -1227729
Output a JSON array of exactly 125 two-integer rows.  Row i (rows are ordered
i=0,...,124) must be [j,k], meaning A_i activates B_j and B_j activates both
C_k.1 and C_k.2.  Both columns must be permutations of 0,...,124; order
inside [j,k] matters, and repeats are forbidden.
Give your final answer inside &lt;answer&gt;&lt;/answer&gt; tags, as that JSON array.
Example: &lt;answer&gt;[[2,0],[0,1],[1,2]]&lt;/answer&gt;
Output nothing else inside the tags.</t>
        </is>
      </c>
      <c r="L38" s="6" t="inlineStr">
        <is>
          <t>[[9, 44], [96, 72], [99, 74], [98, 121], [70, 119], [16, 53], [60, 9], [47, 102], [101, 24], [80, 111], [67, 3], [21, 51], [30, 73], [84, 88], [32, 40], [62, 84], [72, 91], [119, 21], [93, 113], [61, 103], [56, 26], [2, 57], [65, 60], [78, 29], [36, 124], [97, 18], [7, 71], [1, 45], [85, 120], [52, 75], [26, 61], [88, 122], [73, 123], [102, 93], [92, 28], [113, 23], [39, 78], [100, 106], [34, 12], [50, 90], [38, 94], [108, 27], [41, 81], [82, 86], [76, 16], [59, 10], [42, 35], [124, 79], [22, 42], [51, 50], [95, 109], [23, 108], [40, 95], [63, 107], [117, 4], [66, 52], [6, 31], [55, 66], [123, 105], [87, 5], [103, 36], [18, 56], [49, 15], [104, 7], [74, 30], [8, 39], [24, 46], [46, 99], [37, 2], [10, 62], [79, 41], [15, 97], [68, 104], [58, 69], [5, 89], [33, 47], [44, 116], [45, 25], [12, 77], [48, 83], [106, 38], [115, 115], [114, 13], [105, 85], [19, 22], [90, 64], [43, 33], [109, 0], [20, 58], [0, 114], [120, 55], [110, 37], [57, 98], [118, 43], [53, 82], [112, 34], [89, 68], [83, 100], [91, 117], [25, 92], [71, 112], [107, 1], [77, 70], [64, 32], [29, 67], [27, 59], [111, 118], [122, 48], [4, 49], [54, 8], [75, 76], [11, 54], [69, 87], [116, 101], [86, 20], [13, 80], [121, 19], [17, 14], [28, 110], [31, 6], [35, 96], [94, 11], [3, 63], [14, 65], [81, 17]]</t>
        </is>
      </c>
    </row>
    <row r="39">
      <c r="A39" s="2" t="inlineStr">
        <is>
          <t>2509.03064</t>
        </is>
      </c>
      <c r="B39" s="2" t="inlineStr">
        <is>
          <t>Word-Representable Co-Bipartite Graphs: Vertex Ordering, Representation Number, Speed, and Entropy</t>
        </is>
      </c>
      <c r="C39" s="2" t="inlineStr">
        <is>
          <t>words and permutations</t>
        </is>
      </c>
      <c r="D39" s="3" t="inlineStr">
        <is>
          <t>https://arxiv.org/abs/2509.03064</t>
        </is>
      </c>
      <c r="E39" s="2" t="inlineStr">
        <is>
          <t>easy</t>
        </is>
      </c>
      <c r="F39" s="2" t="inlineStr">
        <is>
          <t>{"n": 24, "k": 3, "mode": "random"}</t>
        </is>
      </c>
      <c r="G39" s="4" t="inlineStr">
        <is>
          <t>yes</t>
        </is>
      </c>
      <c r="H39" s="5" t="n">
        <v>1262</v>
      </c>
      <c r="I39" s="2" t="inlineStr"/>
      <c r="J39" s="5" t="n">
        <v>86</v>
      </c>
      <c r="K39" s="6" t="inlineStr">
        <is>
          <t xml:space="preserve">Exact 3-uniform word representation
The undirected simple graph has vertices labelled 0 through 23 inclusive.
Its 46 edges are listed below, one unordered pair per line.
Pairs not listed are non-edges; the order of edges and of endpoints is irrelevant.
2 22
2 15
0 4
12 23
0 19
6 10
13 22
1 18
5 19
14 15
0 8
17 23
7 19
16 19
20 21
2 23
2 9
5 6
12 15
5 18
17 22
12 22
2 18
8 18
12 18
5 20
5 8
5 21
12 17
14 23
0 20
5 15
13 23
10 11
0 7
1 4
3 15
7 16
4 19
3 14
9 23
3 5
5 14
14 21
9 22
4 8
Find a word of exactly 72 integer symbols in which every vertex label from
0 through 23 occurs exactly 3 times.  Repetitions are required, and the
order of symbols matters.
For two distinct labels x and y, form their induced subword by deleting every
symbol other than x and y.  The labels alternate exactly when every two
consecutive symbols of this length-6 subword are different (so it is
x,y,x,y,... or y,x,y,x,...).  Your word must make x and y alternate if and only
if {x,y} is a listed edge, for every unordered pair of distinct vertices.
Give your final answer inside &lt;answer&gt;&lt;/answer&gt; tags, as a comma-separated list
of exactly 72 base-10 integer labels.  Do not use brackets.  Output nothing
else inside the tags.
Example syntax: &lt;answer&gt;0, 1, 0, 1&lt;/answer&gt;
</t>
        </is>
      </c>
      <c r="L39" s="6" t="inlineStr">
        <is>
          <t>[15, 2, 17, 13, 12, 22, 6, 3, 14, 23, 13, 17, 5, 8, 9, 15, 18, 12, 3, 7, 11, 2, 19, 21, 14, 10, 20, 6, 11, 10, 5, 11, 6, 21, 10, 15, 0, 20, 3, 22, 4, 23, 14, 16, 7, 19, 16, 8, 0, 1, 18, 17, 7, 5, 4, 19, 8, 21, 20, 0, 12, 1, 9, 13, 16, 4, 2, 18, 23, 22, 1, 9]</t>
        </is>
      </c>
    </row>
    <row r="40">
      <c r="A40" s="2" t="inlineStr">
        <is>
          <t>2601.19161</t>
        </is>
      </c>
      <c r="B40" s="2" t="inlineStr">
        <is>
          <t>Price of Locality in Permutation Mastermind: Are TikTok influencers Chaotic Enough?</t>
        </is>
      </c>
      <c r="C40" s="2" t="inlineStr">
        <is>
          <t>words and permutations</t>
        </is>
      </c>
      <c r="D40" s="3" t="inlineStr">
        <is>
          <t>https://arxiv.org/abs/2601.19161</t>
        </is>
      </c>
      <c r="E40" s="2" t="inlineStr">
        <is>
          <t>hard</t>
        </is>
      </c>
      <c r="F40" s="2" t="inlineStr">
        <is>
          <t>{"n": 120, "clause_ratio": 0.82}</t>
        </is>
      </c>
      <c r="G40" s="4" t="inlineStr">
        <is>
          <t>yes</t>
        </is>
      </c>
      <c r="H40" s="5" t="n">
        <v>3940</v>
      </c>
      <c r="I40" s="2" t="inlineStr"/>
      <c r="J40" s="5" t="n">
        <v>32</v>
      </c>
      <c r="K40" s="6" t="inlineStr">
        <is>
          <t xml:space="preserve">Restricted 3-local permutation Mastermind witness problem
A permutation of 1,...,360 is an ordered list in which every integer occurs
exactly once.  Positions and values are both 1-indexed.  Split them into 120
ordered blocks: block i consists of 3i-2, 3i-1, 3i.  A permitted secret must use
one of exactly two orientations independently in every block:
  A_i = (3i-1, 3i, 3i-2)
  B_i = (3i, 3i-2, 3i-1).
The full secret is the concatenation of those 120 block triples, in block order.
Thus order matters, values may not repeat, and no other block orientation is
allowed.
Here is the lossless compact representation of a black-peg transcript.  A
black-peg score is the number of positions where a query permutation equals the
secret.  For three positions p,q,r, move A(p,q,r) replaces the current entries
(g[p],g[q],g[r]) by (g[q],g[r],g[p]); move B(p,q,r) is its inverse.  Each move
changes exactly three positions, so consecutive queries are 3-local.
For every listed clause (i,j,k), start at the identity query and perform:
  A(3i-2,3j-2,3k-2), A(3i-1,3j-1,3k-1), A(3i,3j,3k),
  A(3i-2,3i-1,3i), A(3j-2,3j-1,3j), A(3k-2,3k-1,3k),
  B(3i-2,3j-2,3k-2), B(3i-1,3j-1,3k-1), B(3i,3j,3k).
The nine resulting black-peg scores must be
  0 0 0 0 0 0 1 2 3.
Then undo those nine moves in reverse order; the resulting scores must be
  2 1 0 0 0 0 0 0 0,
returning to the identity (whose score is 0) before the next clause.  This is a
complete procedural specification of every query permutation and score; there
are no omitted queries.  For the two permitted block orientations, matching the
gadget is equivalent to requiring exactly one of blocks i,j,k to have type A.
As a redundant check obtainable by adding all clause equations, if d_i is the
number of listed clauses containing block i and x_i is 1 for type A (0 for B),
then sum(d_i*x_i) must equal 98.  Here the degree list d_1,...,d_120 is:
  2 2 2 3 2 2 2 3 3 2 2 3 3 2 3 2 3 3 2 3 2 3 2 3 2 3 3 3 2 2 2 3 2 2 2 3 3 3 3 2 2 2 2 3 3 2 2 2 2 3 3 2 3 2 2 3 2 3 3 3 3 3 3 2 2 3 2 3 2 3 3 2 2 2 2 3 2 3 2 2 2 3 3 3 2 3 2 2 2 2 3 2 3 2 2 2 2 2 3 3 3 3 2 2 2 3 2 2 3 3 2 2 3 3 3 2 2 2 2 3
Instance: 98 clauses.  Each row is "row_number: i j k" and contains three
distinct 1-indexed block numbers.  Clause order and the order within a row have
no semantic effect.
1: 70 34 98
2: 80 82 81
3: 51 61 95
4: 86 3 47
5: 17 61 18
6: 98 4 42
7: 75 76 97
8: 28 33 68
9: 4 51 110
10: 120 118 73
11: 30 23 63
12: 39 19 70
13: 101 90 13
14: 68 13 78
15: 92 100 35
16: 115 113 65
17: 15 99 19
18: 92 113 93
19: 67 4 101
20: 60 46 36
21: 37 55 62
22: 78 6 109
23: 111 86 62
24: 112 45 88
25: 71 50 82
26: 39 72 89
27: 56 114 66
28: 106 45 24
29: 36 8 47
30: 26 27 110
31: 117 50 52
32: 63 65 85
33: 78 100 59
34: 66 20 54
35: 107 71 102
36: 66 12 111
37: 7 44 101
38: 40 90 115
39: 91 60 82
40: 120 74 44
41: 41 104 12
42: 33 84 59
43: 8 70 11
44: 118 22 17
45: 29 102 20
46: 107 62 10
47: 103 68 81
48: 93 26 38
49: 1 73 110
50: 9 21 42
51: 24 94 12
52: 10 46 1
53: 80 55 97
54: 106 61 27
55: 83 30 34
56: 37 67 5
57: 21 23 25
58: 86 115 113
59: 76 9 6
60: 79 49 44
61: 79 99 15
62: 45 14 64
63: 18 120 83
64: 96 16 54
65: 95 37 40
66: 57 63 114
67: 56 9 103
68: 14 7 60
69: 94 64 106
70: 105 77 25
71: 56 26 50
72: 53 29 48
73: 58 51 39
74: 43 16 108
75: 87 49 13
76: 18 3 104
77: 48 5 93
78: 32 38 83
79: 28 53 38
80: 8 114 96
81: 100 84 69
82: 84 71 17
83: 112 109 52
84: 109 87 41
85: 20 117 11
86: 53 58 74
87: 91 35 58
88: 2 31 15
89: 119 76 57
90: 116 59 89
91: 72 75 77
92: 99 32 102
93: 43 31 116
94: 88 24 36
95: 69 2 108
96: 28 27 22
97: 32 91 85
98: 119 22 105
Find any permitted secret permutation matching every score in the transcript.
Give your final answer inside &lt;answer&gt;&lt;/answer&gt; tags, as all 360 integers of the
permutation in position order, separated by commas.
Format example for a two-block permutation: &lt;answer&gt;2, 3, 1, 6, 4, 5&lt;/answer&gt;
Output nothing else inside the tags.
</t>
        </is>
      </c>
      <c r="L40" s="6" t="inlineStr">
        <is>
          <t>[2, 3, 1, 6, 4, 5, 9, 7, 8, 11, 12, 10, 14, 15, 13, 18, 16, 17, 21, 19, 20, 24, 22, 23, 27, 25, 26, 30, 28, 29, 33, 31, 32, 35, 36, 34, 39, 37, 38, 41, 42, 40, 44, 45, 43, 48, 46, 47, 51, 49, 50, 53, 54, 52, 57, 55, 56, 60, 58, 59, 62, 63, 61, 66, 64, 65, 69, 67, 68, 72, 70, 71, 75, 73, 74, 77, 78, 76, 81, 79, 80, 83, 84, 82, 86, 87, 85, 89, 90, 88, 93, 91, 92, 95, 96, 94, 99, 97, 98, 102, 100, 101, 105, 103, 104, 107, 108, 106, 111, 109, 110, 114, 112, 113, 117, 115, 116, 120, 118, 119, 123, 121, 122, 126, 124, 125, 129, 127, 128, 131, 132, 130, 135, 133, 134, 138, 136, 137, 141, 139, 140, 144, 142, 143, 147, 145, 146, 150, 148, 149, 153, 151, 152, 156, 154, 155, 159, 157, 158, 161, 162, 160, 164, 165, 163, 168, 166, 167, 171, 169, 170, 173, 174, 172, 177, 175, 176, 180, 178, 179, 183, 181, 182, 186, 184, 185, 189, 187, 188, 192, 190, 191, 194, 195, 193, 198, 196, 197, 201, 199, 200, 204, 202, 203, 207, 205, 206, 209, 210, 208, 213, 211, 212, 215, 216, 214, 219, 217, 218, 222, 220, 221, 225, 223, 224, 227, 228, 226, 231, 229, 230, 233, 234, 232, 237, 235, 236, 240, 238, 239, 243, 241, 242, 245, 246, 244, 249, 247, 248, 251, 252, 250, 255, 253, 254, 257, 258, 256, 260, 261, 259, 264, 262, 263, 267, 265, 266, 269, 270, 268, 273, 271, 272, 275, 276, 274, 279, 277, 278, 282, 280, 281, 284, 285, 283, 288, 286, 287, 291, 289, 290, 294, 292, 293, 297, 295, 296, 300, 298, 299, 303, 301, 302, 306, 304, 305, 308, 309, 307, 312, 310, 311, 314, 315, 313, 317, 318, 316, 320, 321, 319, 323, 324, 322, 327, 325, 326, 330, 328, 329, 333, 331, 332, 335, 336, 334, 339, 337, 338, 341, 342, 340, 345, 343, 344, 347, 348, 346, 350, 351, 349, 353, 354, 352, 357, 355, 356, 360, 358, 359]</t>
        </is>
      </c>
    </row>
  </sheetData>
  <autoFilter ref="A1:L40"/>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s>
  <sheetData>
    <row r="1">
      <c r="A1" s="7" t="inlineStr">
        <is>
          <t>Generator sample set</t>
        </is>
      </c>
      <c r="B1" s="8" t="n"/>
    </row>
    <row r="2">
      <c r="A2" s="8" t="n"/>
      <c r="B2" s="8" t="n"/>
    </row>
    <row r="3">
      <c r="A3" s="8" t="inlineStr">
        <is>
          <t>Generators</t>
        </is>
      </c>
      <c r="B3" s="8">
        <f>COUNTA(Samples!A2:A40)</f>
        <v/>
      </c>
    </row>
    <row r="4">
      <c r="A4" s="8" t="inlineStr">
        <is>
          <t>Planted answers verified</t>
        </is>
      </c>
      <c r="B4" s="8">
        <f>COUNTIF(Samples!G2:G40,"yes")</f>
        <v/>
      </c>
    </row>
    <row r="5">
      <c r="A5" s="8" t="inlineStr">
        <is>
          <t>Families covered</t>
        </is>
      </c>
      <c r="B5" s="8">
        <f>SUMPRODUCT((Samples!C2:C40&lt;&gt;"")/COUNTIF(Samples!C2:C40,Samples!C2:C40&amp;""))</f>
        <v/>
      </c>
    </row>
    <row r="6">
      <c r="A6" s="8" t="inlineStr">
        <is>
          <t>Median question length</t>
        </is>
      </c>
      <c r="B6" s="9">
        <f>MEDIAN(Samples!H2:H40)</f>
        <v/>
      </c>
    </row>
    <row r="7">
      <c r="A7" s="8" t="inlineStr">
        <is>
          <t>Longest question</t>
        </is>
      </c>
      <c r="B7" s="9">
        <f>MAX(Samples!H2:H40)</f>
        <v/>
      </c>
    </row>
    <row r="8">
      <c r="A8" s="8" t="inlineStr">
        <is>
          <t>Questions truncated for Excel</t>
        </is>
      </c>
      <c r="B8" s="8">
        <f>COUNTIF(Samples!I2:I40,"yes")</f>
        <v/>
      </c>
    </row>
    <row r="9">
      <c r="A9" s="8" t="n"/>
      <c r="B9" s="8" t="n"/>
    </row>
    <row r="10">
      <c r="A10" s="10" t="inlineStr">
        <is>
          <t>By family</t>
        </is>
      </c>
      <c r="B10" s="8" t="n"/>
    </row>
    <row r="11">
      <c r="A11" s="11" t="inlineStr">
        <is>
          <t>Family</t>
        </is>
      </c>
      <c r="B11" s="11" t="inlineStr">
        <is>
          <t>Generators</t>
        </is>
      </c>
    </row>
    <row r="12">
      <c r="A12" s="8" t="inlineStr">
        <is>
          <t>additive combinatorial structures</t>
        </is>
      </c>
      <c r="B12" s="8">
        <f>COUNTIF(Samples!C2:C40,A12)</f>
        <v/>
      </c>
    </row>
    <row r="13">
      <c r="A13" s="8" t="inlineStr">
        <is>
          <t>algebraic decomposition</t>
        </is>
      </c>
      <c r="B13" s="8">
        <f>COUNTIF(Samples!C2:C40,A13)</f>
        <v/>
      </c>
    </row>
    <row r="14">
      <c r="A14" s="8" t="inlineStr">
        <is>
          <t>algebraic identity solutions</t>
        </is>
      </c>
      <c r="B14" s="8">
        <f>COUNTIF(Samples!C2:C40,A14)</f>
        <v/>
      </c>
    </row>
    <row r="15">
      <c r="A15" s="8" t="inlineStr">
        <is>
          <t>constraint satisfaction</t>
        </is>
      </c>
      <c r="B15" s="8">
        <f>COUNTIF(Samples!C2:C40,A15)</f>
        <v/>
      </c>
    </row>
    <row r="16">
      <c r="A16" s="8" t="inlineStr">
        <is>
          <t>designs and codes</t>
        </is>
      </c>
      <c r="B16" s="8">
        <f>COUNTIF(Samples!C2:C40,A16)</f>
        <v/>
      </c>
    </row>
    <row r="17">
      <c r="A17" s="8" t="inlineStr">
        <is>
          <t>finite field constructions</t>
        </is>
      </c>
      <c r="B17" s="8">
        <f>COUNTIF(Samples!C2:C40,A17)</f>
        <v/>
      </c>
    </row>
    <row r="18">
      <c r="A18" s="8" t="inlineStr">
        <is>
          <t>geometric configurations</t>
        </is>
      </c>
      <c r="B18" s="8">
        <f>COUNTIF(Samples!C2:C40,A18)</f>
        <v/>
      </c>
    </row>
    <row r="19">
      <c r="A19" s="8" t="inlineStr">
        <is>
          <t>graph structures</t>
        </is>
      </c>
      <c r="B19" s="8">
        <f>COUNTIF(Samples!C2:C40,A19)</f>
        <v/>
      </c>
    </row>
    <row r="20">
      <c r="A20" s="8" t="inlineStr">
        <is>
          <t>integer equations</t>
        </is>
      </c>
      <c r="B20" s="8">
        <f>COUNTIF(Samples!C2:C40,A20)</f>
        <v/>
      </c>
    </row>
    <row r="21">
      <c r="A21" s="8" t="inlineStr">
        <is>
          <t>reconfiguration</t>
        </is>
      </c>
      <c r="B21" s="8">
        <f>COUNTIF(Samples!C2:C40,A21)</f>
        <v/>
      </c>
    </row>
    <row r="22">
      <c r="A22" s="8" t="inlineStr">
        <is>
          <t>schedules and allocations</t>
        </is>
      </c>
      <c r="B22" s="8">
        <f>COUNTIF(Samples!C2:C40,A22)</f>
        <v/>
      </c>
    </row>
    <row r="23">
      <c r="A23" s="8" t="inlineStr">
        <is>
          <t>words and permutations</t>
        </is>
      </c>
      <c r="B23" s="8">
        <f>COUNTIF(Samples!C2:C40,A23)</f>
        <v/>
      </c>
    </row>
    <row r="24">
      <c r="A24" s="11" t="inlineStr">
        <is>
          <t>Total</t>
        </is>
      </c>
      <c r="B24" s="11">
        <f>SUM(B12:B23)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2" customWidth="1" min="1" max="1"/>
  </cols>
  <sheetData>
    <row r="1">
      <c r="A1" s="7" t="inlineStr">
        <is>
          <t>Provenance and caveats</t>
        </is>
      </c>
    </row>
    <row r="2">
      <c r="A2" s="8" t="inlineStr"/>
    </row>
    <row r="3">
      <c r="A3" s="8" t="inlineStr">
        <is>
          <t>Source: samples/samples.jsonl, generated by scripts/samples.py from the repo's shipped generators.</t>
        </is>
      </c>
    </row>
    <row r="4">
      <c r="A4" s="8" t="inlineStr">
        <is>
          <t>Each question is render(make_instance(seed=42, **DIFFICULTY[SHIPPING_DIFFICULTY])) for that module.</t>
        </is>
      </c>
    </row>
    <row r="5">
      <c r="A5" s="8" t="inlineStr">
        <is>
          <t>Every answer in column L is the planted answer, checked with that module's own verify() before export.</t>
        </is>
      </c>
    </row>
    <row r="6">
      <c r="A6" s="8" t="inlineStr"/>
    </row>
    <row r="7">
      <c r="A7" s="11" t="inlineStr">
        <is>
          <t>TRUNCATION</t>
        </is>
      </c>
    </row>
    <row r="8">
      <c r="A8" s="8" t="inlineStr">
        <is>
          <t>Excel caps a cell at 32,767 characters. One question (2104.04330, 67,175 chars) exceeds that and is</t>
        </is>
      </c>
    </row>
    <row r="9">
      <c r="A9" s="8" t="inlineStr">
        <is>
          <t>cut at 32,000 with a marker; column I flags it. The complete text is in samples.jsonl.</t>
        </is>
      </c>
    </row>
    <row r="10">
      <c r="A10" s="8" t="inlineStr"/>
    </row>
    <row r="11">
      <c r="A11" s="11" t="inlineStr">
        <is>
          <t>SEARCH SPACE</t>
        </is>
      </c>
    </row>
    <row r="12">
      <c r="A12" s="8" t="inlineStr">
        <is>
          <t>Column J reports the NUMBER OF DIGITS of search_space(inst), not the value: several exceed 10^300 and</t>
        </is>
      </c>
    </row>
    <row r="13">
      <c r="A13" s="8" t="inlineStr">
        <is>
          <t>would lose precision as Excel numbers. Full values are in samples.jsonl.</t>
        </is>
      </c>
    </row>
    <row r="14">
      <c r="A14" s="8" t="inlineStr"/>
    </row>
    <row r="15">
      <c r="A15" s="11" t="inlineStr">
        <is>
          <t>WHAT THIS FILE DOES AND DOES NOT ESTABLISH</t>
        </is>
      </c>
    </row>
    <row r="16">
      <c r="A16" s="8" t="inlineStr">
        <is>
          <t>It shows each generator produces a self-contained, parseable question whose planted answer verifies.</t>
        </is>
      </c>
    </row>
    <row r="17">
      <c r="A17" s="8" t="inlineStr">
        <is>
          <t>It is NOT evidence the problems are hard. G6 required only generic attacks (outlier/greedy/restart)</t>
        </is>
      </c>
    </row>
    <row r="18">
      <c r="A18" s="8" t="inlineStr">
        <is>
          <t>until commit 606332e; 24 of these 39 shipped under the old rule. When the domain-standard attack was</t>
        </is>
      </c>
    </row>
    <row r="19">
      <c r="A19" s="8" t="inlineStr">
        <is>
          <t>run against five such families, all five broke and were withdrawn (see AUDIT.md). Treat any row whose</t>
        </is>
      </c>
    </row>
    <row r="20">
      <c r="A20" s="8" t="inlineStr">
        <is>
          <t>generator predates that commit as unaudited for hardness.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2026-09-03T04:39:35Z</dcterms:created>
  <dcterms:modified xmlns:dcterms="http://purl.org/dc/terms/" xmlns:xsi="http://www.w3.org/2001/XMLSchema-instance" xsi:type="dcterms:W3CDTF">2026-09-03T04:39:35Z</dcterms:modified>
</cp:coreProperties>
</file>